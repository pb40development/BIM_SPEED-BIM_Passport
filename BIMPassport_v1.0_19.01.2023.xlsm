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7" codeName="{A63ED3A1-9429-3D75-F2AA-CA7E51A8F3A1}"/>
  <workbookPr codeName="ThisWorkbook"/>
  <mc:AlternateContent xmlns:mc="http://schemas.openxmlformats.org/markup-compatibility/2006">
    <mc:Choice Requires="x15">
      <x15ac:absPath xmlns:x15ac="http://schemas.microsoft.com/office/spreadsheetml/2010/11/ac" url="/Users/Essam/Desktop/"/>
    </mc:Choice>
  </mc:AlternateContent>
  <xr:revisionPtr revIDLastSave="0" documentId="8_{C1FC3BCB-0789-F143-81FB-9EF0906B6C1F}" xr6:coauthVersionLast="47" xr6:coauthVersionMax="47" xr10:uidLastSave="{00000000-0000-0000-0000-000000000000}"/>
  <bookViews>
    <workbookView xWindow="0" yWindow="500" windowWidth="40960" windowHeight="24020" tabRatio="500" xr2:uid="{00000000-000D-0000-FFFF-FFFF00000000}"/>
  </bookViews>
  <sheets>
    <sheet name="- Cover -" sheetId="3" r:id="rId1"/>
    <sheet name="Passport" sheetId="1" r:id="rId2"/>
    <sheet name="Maturity" sheetId="5" r:id="rId3"/>
    <sheet name="Maturity Future Recommendations" sheetId="10" r:id="rId4"/>
    <sheet name="BIM Guidelines" sheetId="6" r:id="rId5"/>
    <sheet name="BIM Ontologies" sheetId="9" r:id="rId6"/>
    <sheet name="- FAQ -" sheetId="4" r:id="rId7"/>
  </sheets>
  <externalReferences>
    <externalReference r:id="rId8"/>
    <externalReference r:id="rId9"/>
  </externalReferences>
  <definedNames>
    <definedName name="_xlnm._FilterDatabase" localSheetId="1" hidden="1">Passport!$F$6:$G$6</definedName>
    <definedName name="_ITEM1">Passport!#REF!</definedName>
    <definedName name="_ITEM2">Passport!#REF!</definedName>
    <definedName name="_ITEM3">Passport!#REF!</definedName>
    <definedName name="_ITEM4">Passport!#REF!</definedName>
    <definedName name="_ITEM5">Passport!#REF!</definedName>
    <definedName name="_ITEM6">Passport!#REF!</definedName>
    <definedName name="_xlchart.v1.0" hidden="1">'BIM Guidelines'!$AB$5</definedName>
    <definedName name="_xlchart.v1.1" hidden="1">'BIM Guidelines'!$C$20</definedName>
    <definedName name="_xlchart.v1.10" hidden="1">'BIM Guidelines'!$C$5</definedName>
    <definedName name="_xlchart.v1.11" hidden="1">'BIM Guidelines'!$X$20:$AA$20</definedName>
    <definedName name="_xlchart.v1.12" hidden="1">'BIM Guidelines'!$X$31:$AA$31</definedName>
    <definedName name="_xlchart.v1.13" hidden="1">'BIM Guidelines'!$X$33:$AA$33</definedName>
    <definedName name="_xlchart.v1.14" hidden="1">'BIM Guidelines'!$X$35:$AA$35</definedName>
    <definedName name="_xlchart.v1.15" hidden="1">'BIM Guidelines'!$X$40:$AA$40</definedName>
    <definedName name="_xlchart.v1.16" hidden="1">'BIM Guidelines'!$X$42:$AA$42</definedName>
    <definedName name="_xlchart.v1.17" hidden="1">'BIM Guidelines'!$X$44:$AA$44</definedName>
    <definedName name="_xlchart.v1.18" hidden="1">'BIM Guidelines'!$X$46:$AA$46</definedName>
    <definedName name="_xlchart.v1.19" hidden="1">'BIM Guidelines'!$X$48:$AA$48</definedName>
    <definedName name="_xlchart.v1.2" hidden="1">'BIM Guidelines'!$C$31</definedName>
    <definedName name="_xlchart.v1.20" hidden="1">'BIM Guidelines'!$X$5:$AA$5</definedName>
    <definedName name="_xlchart.v1.3" hidden="1">'BIM Guidelines'!$C$33</definedName>
    <definedName name="_xlchart.v1.4" hidden="1">'BIM Guidelines'!$C$35</definedName>
    <definedName name="_xlchart.v1.5" hidden="1">'BIM Guidelines'!$C$40</definedName>
    <definedName name="_xlchart.v1.6" hidden="1">'BIM Guidelines'!$C$42</definedName>
    <definedName name="_xlchart.v1.7" hidden="1">'BIM Guidelines'!$C$44</definedName>
    <definedName name="_xlchart.v1.8" hidden="1">'BIM Guidelines'!$C$46</definedName>
    <definedName name="_xlchart.v1.9" hidden="1">'BIM Guidelines'!$C$48</definedName>
    <definedName name="BEM_Reno_Ontology_Specs.">'- FAQ -'!#REF!</definedName>
    <definedName name="cert.3">'- FAQ -'!$K$35</definedName>
    <definedName name="cert1">'- FAQ -'!$F$35</definedName>
    <definedName name="cert2">'- FAQ -'!$H$35</definedName>
    <definedName name="cert3">'- FAQ -'!$K$36</definedName>
    <definedName name="LCA_C_Ontology_Specs.">'- FAQ -'!#REF!</definedName>
    <definedName name="Logo">INDIRECT('[1]Dyanamic Link'!$E$5)</definedName>
    <definedName name="NoCert1">Passport!$B$118</definedName>
    <definedName name="_xlnm.Print_Area" localSheetId="4">'BIM Guidelines'!$A$1:$E$56</definedName>
    <definedName name="_xlnm.Print_Area" localSheetId="2">Maturity!$A$1:$K$251</definedName>
    <definedName name="_xlnm.Print_Area" localSheetId="1">Passport!$A$1:$I$74</definedName>
    <definedName name="Reno_Inst_Ontology_Specs.">'- FAQ -'!#REF!</definedName>
    <definedName name="ShowCert.1">INDIRECT('BIM Ontologies'!$H$45)</definedName>
    <definedName name="ShowCert.3">INDIRECT('BIM Ontologies'!$H$166)</definedName>
    <definedName name="ShowCert2.">INDIRECT('BIM Ontologies'!$H$112)</definedName>
    <definedName name="Type" localSheetId="3">'[2]Maintenance Work Order'!#REF!</definedName>
    <definedName name="Type">'[2]Maintenance Work Order'!#REF!</definedName>
  </definedNames>
  <calcPr calcId="191029"/>
  <fileRecoveryPr repairLoad="1"/>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H166" i="9" l="1"/>
  <c r="H45" i="9"/>
  <c r="H112" i="9"/>
  <c r="H164" i="9"/>
  <c r="H162" i="9"/>
  <c r="H160" i="9"/>
  <c r="H156" i="9"/>
  <c r="H154" i="9"/>
  <c r="H150" i="9"/>
  <c r="H152" i="9"/>
  <c r="H146" i="9"/>
  <c r="H144" i="9"/>
  <c r="H142" i="9"/>
  <c r="H140" i="9"/>
  <c r="H138" i="9"/>
  <c r="H136" i="9"/>
  <c r="H134" i="9"/>
  <c r="H132" i="9"/>
  <c r="H130" i="9"/>
  <c r="M124" i="5"/>
  <c r="H50" i="9"/>
  <c r="H51" i="9"/>
  <c r="H52" i="9"/>
  <c r="H53" i="9"/>
  <c r="H54" i="9"/>
  <c r="H55" i="9"/>
  <c r="H56" i="9"/>
  <c r="H57" i="9"/>
  <c r="H59" i="9"/>
  <c r="H61" i="9"/>
  <c r="H62" i="9"/>
  <c r="H63" i="9"/>
  <c r="H64" i="9"/>
  <c r="H65" i="9"/>
  <c r="H69" i="9"/>
  <c r="H71" i="9"/>
  <c r="H72" i="9"/>
  <c r="H73" i="9"/>
  <c r="H75" i="9"/>
  <c r="H76" i="9"/>
  <c r="H78" i="9"/>
  <c r="H79" i="9"/>
  <c r="H80" i="9"/>
  <c r="H81" i="9"/>
  <c r="H82" i="9"/>
  <c r="H83" i="9"/>
  <c r="H85" i="9"/>
  <c r="H86" i="9"/>
  <c r="H87" i="9"/>
  <c r="H88" i="9"/>
  <c r="H89" i="9"/>
  <c r="H91" i="9"/>
  <c r="H92" i="9"/>
  <c r="H93" i="9"/>
  <c r="H94" i="9"/>
  <c r="H95" i="9"/>
  <c r="H96" i="9"/>
  <c r="H97" i="9"/>
  <c r="H99" i="9"/>
  <c r="H100" i="9"/>
  <c r="H101" i="9"/>
  <c r="H102" i="9"/>
  <c r="H103" i="9"/>
  <c r="H104" i="9"/>
  <c r="H105" i="9"/>
  <c r="H107" i="9"/>
  <c r="H108" i="9"/>
  <c r="H109" i="9"/>
  <c r="H110" i="9"/>
  <c r="H116" i="9"/>
  <c r="H118" i="9"/>
  <c r="H120" i="9"/>
  <c r="H122" i="9"/>
  <c r="H124" i="9"/>
  <c r="H126" i="9"/>
  <c r="H128" i="9"/>
  <c r="H158" i="9"/>
  <c r="C1" i="1"/>
  <c r="C74" i="1"/>
  <c r="V48" i="6"/>
  <c r="W48" i="6" s="1"/>
  <c r="X48" i="6" s="1"/>
  <c r="D73" i="1" s="1"/>
  <c r="V46" i="6"/>
  <c r="W46" i="6" s="1"/>
  <c r="X46" i="6" s="1"/>
  <c r="D72" i="1" s="1"/>
  <c r="V44" i="6"/>
  <c r="W44" i="6" s="1"/>
  <c r="X44" i="6" s="1"/>
  <c r="D71" i="1" s="1"/>
  <c r="V42" i="6"/>
  <c r="W42" i="6" s="1"/>
  <c r="X42" i="6" s="1"/>
  <c r="D70" i="1" s="1"/>
  <c r="V40" i="6"/>
  <c r="W40" i="6" s="1"/>
  <c r="X40" i="6" s="1"/>
  <c r="D69" i="1" s="1"/>
  <c r="V38" i="6"/>
  <c r="W38" i="6" s="1"/>
  <c r="V36" i="6"/>
  <c r="W36" i="6" s="1"/>
  <c r="V33" i="6"/>
  <c r="W33" i="6" s="1"/>
  <c r="X33" i="6" s="1"/>
  <c r="D67" i="1" s="1"/>
  <c r="V31" i="6"/>
  <c r="W31" i="6" s="1"/>
  <c r="X31" i="6" s="1"/>
  <c r="D66" i="1" s="1"/>
  <c r="V29" i="6"/>
  <c r="W29" i="6" s="1"/>
  <c r="V27" i="6"/>
  <c r="W27" i="6" s="1"/>
  <c r="V25" i="6"/>
  <c r="W25" i="6" s="1"/>
  <c r="V23" i="6"/>
  <c r="W23" i="6" s="1"/>
  <c r="V21" i="6"/>
  <c r="W21" i="6" s="1"/>
  <c r="V19" i="6"/>
  <c r="W19" i="6" s="1"/>
  <c r="V17" i="6"/>
  <c r="W17" i="6" s="1"/>
  <c r="V15" i="6"/>
  <c r="W15" i="6" s="1"/>
  <c r="V13" i="6"/>
  <c r="W13" i="6" s="1"/>
  <c r="V11" i="6"/>
  <c r="W11" i="6" s="1"/>
  <c r="V9" i="6"/>
  <c r="W9" i="6" s="1"/>
  <c r="V7" i="6"/>
  <c r="W7" i="6" s="1"/>
  <c r="V5" i="6"/>
  <c r="W5" i="6" s="1"/>
  <c r="K230" i="5"/>
  <c r="K226" i="5"/>
  <c r="K222" i="5"/>
  <c r="K218" i="5"/>
  <c r="K213" i="5"/>
  <c r="K209" i="5"/>
  <c r="K205" i="5"/>
  <c r="K200" i="5"/>
  <c r="K196" i="5"/>
  <c r="K192" i="5"/>
  <c r="K188" i="5"/>
  <c r="K178" i="5"/>
  <c r="K174" i="5"/>
  <c r="K170" i="5"/>
  <c r="K166" i="5"/>
  <c r="K162" i="5"/>
  <c r="K158" i="5"/>
  <c r="K154" i="5"/>
  <c r="K149" i="5"/>
  <c r="K145" i="5"/>
  <c r="K141" i="5"/>
  <c r="K137" i="5"/>
  <c r="K133" i="5"/>
  <c r="K129" i="5"/>
  <c r="K125" i="5"/>
  <c r="K120" i="5"/>
  <c r="K116" i="5"/>
  <c r="K112" i="5"/>
  <c r="M111" i="5" s="1"/>
  <c r="K102" i="5"/>
  <c r="K98" i="5"/>
  <c r="K93" i="5"/>
  <c r="K89" i="5"/>
  <c r="K84" i="5"/>
  <c r="K80" i="5"/>
  <c r="K76" i="5"/>
  <c r="K71" i="5"/>
  <c r="M58" i="5" s="1"/>
  <c r="K67" i="5"/>
  <c r="K63" i="5"/>
  <c r="K59" i="5"/>
  <c r="L59" i="5" s="1"/>
  <c r="K49" i="5"/>
  <c r="K45" i="5"/>
  <c r="L45" i="5" s="1"/>
  <c r="K40" i="5"/>
  <c r="L40" i="5" s="1"/>
  <c r="K36" i="5"/>
  <c r="L36" i="5" s="1"/>
  <c r="K32" i="5"/>
  <c r="L32" i="5" s="1"/>
  <c r="K27" i="5"/>
  <c r="L27" i="5" s="1"/>
  <c r="K23" i="5"/>
  <c r="K19" i="5"/>
  <c r="L19" i="5" s="1"/>
  <c r="K15" i="5"/>
  <c r="L15" i="5" s="1"/>
  <c r="K11" i="5"/>
  <c r="L11" i="5" s="1"/>
  <c r="K7" i="5"/>
  <c r="L7" i="5" s="1"/>
  <c r="Y49" i="6"/>
  <c r="F50" i="6"/>
  <c r="M97" i="5" l="1"/>
  <c r="M44" i="5"/>
  <c r="M31" i="5"/>
  <c r="M6" i="5"/>
  <c r="L51" i="5" s="1"/>
  <c r="M75" i="5"/>
  <c r="M88" i="5"/>
  <c r="M217" i="5"/>
  <c r="M204" i="5"/>
  <c r="M187" i="5"/>
  <c r="M153" i="5"/>
  <c r="L49" i="5"/>
  <c r="X35" i="6"/>
  <c r="D68" i="1" s="1"/>
  <c r="X5" i="6"/>
  <c r="D64" i="1" s="1"/>
  <c r="X20" i="6"/>
  <c r="D65" i="1" s="1"/>
  <c r="W50" i="6"/>
  <c r="V50" i="6"/>
  <c r="L104" i="5" l="1"/>
  <c r="B5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tc={A21A7832-F038-4F76-BEF4-DAE0DA911DBC}</author>
    <author>tc={6FF9C44E-EE8B-4648-819A-86F1175B0800}</author>
    <author>tc={2174BBC0-9953-42E8-998A-397FC5960459}</author>
    <author>tc={3BFA6A1F-0DA5-4235-BF41-34965E73C610}</author>
    <author>tc={47499276-5BC4-4C40-8EDE-3A38A90E448B}</author>
    <author>tc={CDAFEAB3-078E-4B2C-9AB5-0C8B87315A06}</author>
    <author>tc={62E18738-E8F2-40F6-87C6-1E1FD0875E27}</author>
    <author>tc={69281FCF-3D0F-4669-9452-E20E5FD265C3}</author>
    <author>tc={18892F1D-BB1E-446C-A6A3-5F9DBB371631}</author>
  </authors>
  <commentList>
    <comment ref="E17" authorId="0" shapeId="0" xr:uid="{A21A7832-F038-4F76-BEF4-DAE0DA911DBC}">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Not clear</t>
        </r>
      </text>
    </comment>
    <comment ref="E19" authorId="1" shapeId="0" xr:uid="{6FF9C44E-EE8B-4648-819A-86F1175B0800}">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I am not sure how one should answer this question/ </t>
        </r>
      </text>
    </comment>
    <comment ref="E24" authorId="2" shapeId="0" xr:uid="{2174BBC0-9953-42E8-998A-397FC5960459}">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Is this only for HVAC system? What about other interfaces? What do we mean?</t>
        </r>
      </text>
    </comment>
    <comment ref="E28" authorId="3" shapeId="0" xr:uid="{3BFA6A1F-0DA5-4235-BF41-34965E73C610}">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Is this a question?</t>
        </r>
      </text>
    </comment>
    <comment ref="E29" authorId="4" shapeId="0" xr:uid="{47499276-5BC4-4C40-8EDE-3A38A90E448B}">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Is this a question?</t>
        </r>
      </text>
    </comment>
    <comment ref="E49" authorId="5" shapeId="0" xr:uid="{CDAFEAB3-078E-4B2C-9AB5-0C8B87315A06}">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Is this at element level or component level?</t>
        </r>
      </text>
    </comment>
    <comment ref="E50" authorId="6" shapeId="0" xr:uid="{62E18738-E8F2-40F6-87C6-1E1FD0875E27}">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t>
        </r>
      </text>
    </comment>
    <comment ref="E65" authorId="7" shapeId="0" xr:uid="{69281FCF-3D0F-4669-9452-E20E5FD265C3}">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t>
        </r>
      </text>
    </comment>
    <comment ref="E89" authorId="8" shapeId="0" xr:uid="{18892F1D-BB1E-446C-A6A3-5F9DBB371631}">
      <text>
        <r>
          <rPr>
            <sz val="10"/>
            <color rgb="FF000000"/>
            <rFont val="Arial"/>
            <family val="2"/>
          </rPr>
          <t xml:space="preserve">[Threaded comment]
</t>
        </r>
        <r>
          <rPr>
            <sz val="10"/>
            <color rgb="FF000000"/>
            <rFont val="Arial"/>
            <family val="2"/>
          </rPr>
          <t xml:space="preserve">
</t>
        </r>
        <r>
          <rPr>
            <sz val="10"/>
            <color rgb="FF000000"/>
            <rFont val="Arial"/>
            <family val="2"/>
          </rPr>
          <t xml:space="preserve">Your version of Excel allows you to read this threaded comment; however, any edits to it will get removed if the file is opened in a newer version of Excel. Learn more: https://go.microsoft.com/fwlink/?linkid=870924
</t>
        </r>
        <r>
          <rPr>
            <sz val="10"/>
            <color rgb="FF000000"/>
            <rFont val="Arial"/>
            <family val="2"/>
          </rPr>
          <t xml:space="preserve">
</t>
        </r>
        <r>
          <rPr>
            <sz val="10"/>
            <color rgb="FF000000"/>
            <rFont val="Arial"/>
            <family val="2"/>
          </rPr>
          <t xml:space="preserve">Comment:
</t>
        </r>
        <r>
          <rPr>
            <sz val="10"/>
            <color rgb="FF000000"/>
            <rFont val="Arial"/>
            <family val="2"/>
          </rPr>
          <t xml:space="preserve">    What is the difference between indicator in question 5 and cost parameter type?</t>
        </r>
      </text>
    </comment>
  </commentList>
</comments>
</file>

<file path=xl/sharedStrings.xml><?xml version="1.0" encoding="utf-8"?>
<sst xmlns="http://schemas.openxmlformats.org/spreadsheetml/2006/main" count="962" uniqueCount="619">
  <si>
    <t>ADDITIONAL NOTES</t>
  </si>
  <si>
    <t>PRIORITY KEY</t>
  </si>
  <si>
    <t>STANDARD DEVIATION</t>
  </si>
  <si>
    <t>WEIGHT</t>
  </si>
  <si>
    <t>COMMENTS / NOTES</t>
  </si>
  <si>
    <t>NONE</t>
  </si>
  <si>
    <t>Administrative</t>
  </si>
  <si>
    <t xml:space="preserve">Yes </t>
  </si>
  <si>
    <t>No idea</t>
  </si>
  <si>
    <t>No</t>
  </si>
  <si>
    <t>Probably yes</t>
  </si>
  <si>
    <t>Absolutely</t>
  </si>
  <si>
    <t>There is an initial idea</t>
  </si>
  <si>
    <t>The general concept of some standards is clear</t>
  </si>
  <si>
    <t>We are testing several standards</t>
  </si>
  <si>
    <t>Checking</t>
  </si>
  <si>
    <t>Do you check the quality of BIM Models?</t>
  </si>
  <si>
    <t>1-20%</t>
  </si>
  <si>
    <t>21-40%</t>
  </si>
  <si>
    <t>41-60%</t>
  </si>
  <si>
    <t>61-80%</t>
  </si>
  <si>
    <t>81-100%</t>
  </si>
  <si>
    <t>Not really</t>
  </si>
  <si>
    <t>The general concept of some standards is defined</t>
  </si>
  <si>
    <t>Do you define process maps for working on BIM models?</t>
  </si>
  <si>
    <t>The general concept of the maps is defined</t>
  </si>
  <si>
    <t>We are testing the maps</t>
  </si>
  <si>
    <t>It is already implemented</t>
  </si>
  <si>
    <t>It is optimized</t>
  </si>
  <si>
    <t>Never</t>
  </si>
  <si>
    <t>Not yet, we have the idea</t>
  </si>
  <si>
    <t>We have started at initial level</t>
  </si>
  <si>
    <t>Do you involve Purchasing department in BIM processes?</t>
  </si>
  <si>
    <t>Do you involve Financial department in BIM processes?</t>
  </si>
  <si>
    <t>Do you involve Quality Control department in BIM processes?</t>
  </si>
  <si>
    <t>Once a month</t>
  </si>
  <si>
    <t>Once a week</t>
  </si>
  <si>
    <t>Yes, both in most contracts</t>
  </si>
  <si>
    <t>Defined Information Requirements</t>
  </si>
  <si>
    <t>Does your organization define the appropriate level of information needed in each project phase?</t>
  </si>
  <si>
    <t>Yes it is for certain constructive elements only</t>
  </si>
  <si>
    <t>Not yet but we are working on the definition</t>
  </si>
  <si>
    <t>Yes it is and were testing if it works</t>
  </si>
  <si>
    <t>Experience</t>
  </si>
  <si>
    <t>Less than one year</t>
  </si>
  <si>
    <t>Less than 2 years</t>
  </si>
  <si>
    <t>More than 2 years</t>
  </si>
  <si>
    <t>More than 5 years</t>
  </si>
  <si>
    <t>More than 7 years</t>
  </si>
  <si>
    <t>From 0 (lowest) to 5 (highest), which level of BIM maturity would you consider currently for your organization/company?</t>
  </si>
  <si>
    <t>External communication</t>
  </si>
  <si>
    <t>From time to time</t>
  </si>
  <si>
    <t>Feedback</t>
  </si>
  <si>
    <t>Is there a mechanism to allow feedback from staff members on the information structure and BIM products?</t>
  </si>
  <si>
    <t>Information management</t>
  </si>
  <si>
    <t>Optimized</t>
  </si>
  <si>
    <t>Interoperability</t>
  </si>
  <si>
    <t>Knowledge infrastructure</t>
  </si>
  <si>
    <t>Performance</t>
  </si>
  <si>
    <t>Do you perform quantity take-offs based on BIM Models?</t>
  </si>
  <si>
    <t>Platforms</t>
  </si>
  <si>
    <t>Process-Manuals</t>
  </si>
  <si>
    <t>We have started with the idea</t>
  </si>
  <si>
    <t>Project roles</t>
  </si>
  <si>
    <t>Mostly 3D drafting</t>
  </si>
  <si>
    <t>Quality concept</t>
  </si>
  <si>
    <t>Are there quality controls in place for data?</t>
  </si>
  <si>
    <t>We are developing the first checkpoints</t>
  </si>
  <si>
    <t>Roles</t>
  </si>
  <si>
    <t>Strategic</t>
  </si>
  <si>
    <t>Is there any strategy to improve the working environment as a factor of productivity?</t>
  </si>
  <si>
    <t>Only 2D drafting</t>
  </si>
  <si>
    <t>Mostly 2D drafting</t>
  </si>
  <si>
    <t>Only 3D drafting</t>
  </si>
  <si>
    <t>BIM workflow</t>
  </si>
  <si>
    <t>How prepared  are you to issue your native format files?</t>
  </si>
  <si>
    <t>Just started</t>
  </si>
  <si>
    <t>Defined</t>
  </si>
  <si>
    <t>Tested</t>
  </si>
  <si>
    <t>Implemented</t>
  </si>
  <si>
    <t>From 0 (Totally disagree)  to 5 (totally agree) do you agree to have the adecuate hardware in alignment with the organization goals and strategy?</t>
  </si>
  <si>
    <t>Tools</t>
  </si>
  <si>
    <t>Training</t>
  </si>
  <si>
    <t>Does you organization provide for structured external training of staff?</t>
  </si>
  <si>
    <t>From 0 (Totally disagree)  to 5 (totally agree) do you agree to have the adecuate software for aimed BIM use cases?</t>
  </si>
  <si>
    <t>From 0 (Totally disagree)  to 5 (totally agree), does your organization have defined hardware specifications to work with BIM technology?</t>
  </si>
  <si>
    <t>POLICIES (Organization &amp; Management)</t>
  </si>
  <si>
    <t>Organizational Policies</t>
  </si>
  <si>
    <t>Does your organization use open standards to communicate with external partners ?</t>
  </si>
  <si>
    <t>Yes but only a few of them are really open standards</t>
  </si>
  <si>
    <t>Yes we use both open and private standards</t>
  </si>
  <si>
    <t>BIM Vision and general plans</t>
  </si>
  <si>
    <t>Does your organitazion have general BIM standards ?</t>
  </si>
  <si>
    <t>Not available</t>
  </si>
  <si>
    <t>Is there any BIM Implementation-Plan or a general strategy on enterprise level availbale?</t>
  </si>
  <si>
    <t>Ther is an initial idea</t>
  </si>
  <si>
    <t>The general concept of the plan is clear</t>
  </si>
  <si>
    <t xml:space="preserve">We are testing the plan </t>
  </si>
  <si>
    <t>BIM Vision and dissemination</t>
  </si>
  <si>
    <t>Are there channels to communicate and understand the BIM vision by staff?</t>
  </si>
  <si>
    <t>There are some chanels but not specific</t>
  </si>
  <si>
    <t>Yes there are but we do not use them</t>
  </si>
  <si>
    <t>Yes there are but we almost do not use them</t>
  </si>
  <si>
    <t>Do you have BIM Process-Manuals to introduce BIM on development-level</t>
  </si>
  <si>
    <t xml:space="preserve">We are developing the first manuals </t>
  </si>
  <si>
    <t>Yes there are some but not for all the Departments</t>
  </si>
  <si>
    <t>Yes we are testing them</t>
  </si>
  <si>
    <t>Contractual Policies</t>
  </si>
  <si>
    <t>Data security and property rights</t>
  </si>
  <si>
    <t>Not yet but we have identified several ones</t>
  </si>
  <si>
    <t>Yes but only in a few contracts</t>
  </si>
  <si>
    <t>Yes some of them</t>
  </si>
  <si>
    <t>Availability of statements defining the responsability of each stakeholder regarding information management</t>
  </si>
  <si>
    <t>Identified=Initial</t>
  </si>
  <si>
    <t>Concept done: Defined</t>
  </si>
  <si>
    <t>Managed=tested</t>
  </si>
  <si>
    <t>Preparatory</t>
  </si>
  <si>
    <t>Yes but not everybody has acces to it</t>
  </si>
  <si>
    <t>Yes they provide us external training sometimes</t>
  </si>
  <si>
    <t>Does you organization provide for  structured internal training of staff?</t>
  </si>
  <si>
    <t>Yes they provide us internal training sometimes</t>
  </si>
  <si>
    <t>implemented=integrated</t>
  </si>
  <si>
    <t>optimized</t>
  </si>
  <si>
    <t>Weight</t>
  </si>
  <si>
    <t>Goal</t>
  </si>
  <si>
    <t>Yes most of them are open standards</t>
  </si>
  <si>
    <t>We are fully based in open standards</t>
  </si>
  <si>
    <t>Yes  they are implemented</t>
  </si>
  <si>
    <t>Yes they are already optimized</t>
  </si>
  <si>
    <t>Yes there are and they work</t>
  </si>
  <si>
    <t>Yes they are optimized</t>
  </si>
  <si>
    <t>Every Department has one</t>
  </si>
  <si>
    <t>Yes and the process has been optimized</t>
  </si>
  <si>
    <t>Yes we they are already implementing</t>
  </si>
  <si>
    <t>Yes most of them</t>
  </si>
  <si>
    <t>Yes they provide as external training quite often</t>
  </si>
  <si>
    <t>Yes and every post has a training roadmap</t>
  </si>
  <si>
    <t>Yes they provide as internal training quite often</t>
  </si>
  <si>
    <t>OPEN FEEDBACK QUESTION</t>
  </si>
  <si>
    <t>What are the goals of the organisation in implementing BIM?</t>
  </si>
  <si>
    <t>NO SCORE</t>
  </si>
  <si>
    <t>Open answer. Example: reduce time, reduce cost, offer a bettter quality, avoid problems during the process, open new markets etc.</t>
  </si>
  <si>
    <t>PEOPLE (Mentality &amp; Culture)</t>
  </si>
  <si>
    <t>Roles and Responsibilities</t>
  </si>
  <si>
    <t>Are role descriptions clearly and decisively defined and fixed within your organization?</t>
  </si>
  <si>
    <t>Yes but only for several people or projects</t>
  </si>
  <si>
    <t>Yes for most of people or projects</t>
  </si>
  <si>
    <t>BIM roles</t>
  </si>
  <si>
    <t>Are the BIM roles  clearly defined in your organization?</t>
  </si>
  <si>
    <t>Are the team structures/dynamics consistent or performance is only depending on the employees "heroism"?</t>
  </si>
  <si>
    <t>Absolute "Heroism"</t>
  </si>
  <si>
    <t>Quite "Heroism"</t>
  </si>
  <si>
    <t>Mixture of "Heroism" and consistency</t>
  </si>
  <si>
    <t>Quite Consistent</t>
  </si>
  <si>
    <t>Absolute Consistent</t>
  </si>
  <si>
    <t>BIM reponsible</t>
  </si>
  <si>
    <t>Is there someone within your organization who is the final responsible for effective and efficient work with BIM?</t>
  </si>
  <si>
    <t>Yes there is a paerson</t>
  </si>
  <si>
    <t xml:space="preserve">Yes there is an expertise </t>
  </si>
  <si>
    <t>Yes there is the director of BIM department</t>
  </si>
  <si>
    <t>Qualification and Skills</t>
  </si>
  <si>
    <t>Are there staff training sessions related to BIM tools?</t>
  </si>
  <si>
    <t>Yes on need based</t>
  </si>
  <si>
    <t>Yes periodically</t>
  </si>
  <si>
    <t>Yes and every post has a BIM training roadmap</t>
  </si>
  <si>
    <t>What expertise/experience does your organization have in working with BIM?</t>
  </si>
  <si>
    <t>No experience</t>
  </si>
  <si>
    <t>Communication and exchange</t>
  </si>
  <si>
    <t xml:space="preserve"> Collaboration channels</t>
  </si>
  <si>
    <t>Are there channels or nethods to transfer knowledge between staff members?</t>
  </si>
  <si>
    <t>Yes periodically and perfectly defined</t>
  </si>
  <si>
    <t>Yes periodically and perfectly defined and we review them to improve</t>
  </si>
  <si>
    <t>Working environment</t>
  </si>
  <si>
    <t>Do you have tools to control, manage, and modify the working environments to enhance staff motivation, satisfaction and productivity</t>
  </si>
  <si>
    <t>Which challenges do you see as the most critical in achieving large scale adoption of BIM for rehabilitation in your country?</t>
  </si>
  <si>
    <t>Open answer: Example: clients unwareof the value proposition, lack of public sector real mandate, implement BIM in smaller companies, lack of BIM skills within current satff, initial cost of implementing BIM, issues regarding data ownership and liability,etc</t>
  </si>
  <si>
    <t>PROCESSES (Information Structure &amp; Flow)</t>
  </si>
  <si>
    <t>Information Structure</t>
  </si>
  <si>
    <t>Yes but not in every phase</t>
  </si>
  <si>
    <t>Yes it is precisely defined and integrated</t>
  </si>
  <si>
    <t>Yes they are and we have reviewed and implemented</t>
  </si>
  <si>
    <t>Does your organization define the minimum parametrization level in the model</t>
  </si>
  <si>
    <t>Not yet but we have identified several features</t>
  </si>
  <si>
    <t>Not yet but we are working on the definition of the features</t>
  </si>
  <si>
    <t>Yes it is precisely defined and integrated for elements and categories</t>
  </si>
  <si>
    <t>Is there a quality checking process in place for importing new data in your dataset?</t>
  </si>
  <si>
    <t xml:space="preserve">Not yet but we are working on the definition </t>
  </si>
  <si>
    <t>Yesthere is and we have reviewed and implemented for BIM</t>
  </si>
  <si>
    <t>Information Flow</t>
  </si>
  <si>
    <t xml:space="preserve">Are the information flows within your organization described/written down? </t>
  </si>
  <si>
    <t>Yes they are implemented</t>
  </si>
  <si>
    <t>Collaboration-Manuals</t>
  </si>
  <si>
    <t xml:space="preserve">Are the information flows between your organization and your (project) partners described/written down? </t>
  </si>
  <si>
    <t>Collaboration-Process</t>
  </si>
  <si>
    <t>Do you involve OHS department in BIM processes?</t>
  </si>
  <si>
    <t>Yes but only in some stages</t>
  </si>
  <si>
    <t>What is your primary designing workflow?</t>
  </si>
  <si>
    <t>We have not any clear workflow</t>
  </si>
  <si>
    <t>Not prepared</t>
  </si>
  <si>
    <t xml:space="preserve">No </t>
  </si>
  <si>
    <t>Do you carry out clash detection by using BIM Models?</t>
  </si>
  <si>
    <t>Do you understand the Level Of Detail (LOD) required at each project phase?</t>
  </si>
  <si>
    <t>Do you understand the Level Of Infromation (LOI) required at each project phase?</t>
  </si>
  <si>
    <t>Do you think it is possible to achieve BIM workflow and processes in your company in short term (2 years)? Why?</t>
  </si>
  <si>
    <t>Open answer</t>
  </si>
  <si>
    <t>TECHNOLOGY (Tools &amp; Applications)</t>
  </si>
  <si>
    <t>Software</t>
  </si>
  <si>
    <t>Usability of software</t>
  </si>
  <si>
    <t>In which percentage does your organization work with  IFC files (Open BIM)?</t>
  </si>
  <si>
    <t>From 0 (Totally disagree)  to 5 (totally agree) do you agree to have the adecuate software in alignment with the organization goals and strategy?</t>
  </si>
  <si>
    <t>Inside your company, in which percentage of working-posts is installed BIM software?</t>
  </si>
  <si>
    <t xml:space="preserve">Hardware </t>
  </si>
  <si>
    <t>Usability of hadrware</t>
  </si>
  <si>
    <t>From 0 (Totally disagree)  to 5 (totally agree) do you agree to have the adecuate hardware   for aimed BIM use cases?</t>
  </si>
  <si>
    <t>IT Security</t>
  </si>
  <si>
    <t>Data Back</t>
  </si>
  <si>
    <t>How often does your organisation create a data back copy?</t>
  </si>
  <si>
    <t>We do not use a data back</t>
  </si>
  <si>
    <t>Every fornight</t>
  </si>
  <si>
    <t>Every 2 days</t>
  </si>
  <si>
    <t>Dayly</t>
  </si>
  <si>
    <t>How secure  do you consider  your organization is in terms data security?</t>
  </si>
  <si>
    <t>Are networks solutions for harvesting, storing and sharing knowledge, within and between organizations, well managed through common platforms?</t>
  </si>
  <si>
    <t>Identified the need=Initial</t>
  </si>
  <si>
    <t>Concept done: Defined what and how to use it</t>
  </si>
  <si>
    <t>Managed=testing the use</t>
  </si>
  <si>
    <t>The use is implemented=integrated</t>
  </si>
  <si>
    <t>The use is optimized</t>
  </si>
  <si>
    <t>Does your organization actively use the Collaborative Data Environment  (CDE) platform  within projects?</t>
  </si>
  <si>
    <t>What BIM tools (software are you currently using?</t>
  </si>
  <si>
    <t>Open answer. Example: archicad, revit, vectroworks, cype etc</t>
  </si>
  <si>
    <t>Is there any organization (non profit) who provides wide general support for BIM in your country?</t>
  </si>
  <si>
    <t xml:space="preserve">Open answer.yes like BIM Association.  </t>
  </si>
  <si>
    <t>Maturity</t>
  </si>
  <si>
    <t>Project Setup &amp; BIM Model Creation</t>
  </si>
  <si>
    <t>Answers</t>
  </si>
  <si>
    <t xml:space="preserve">is there a BIM Model Project Template avaialble </t>
  </si>
  <si>
    <t>Yes</t>
  </si>
  <si>
    <t>Who Created the Template</t>
  </si>
  <si>
    <t xml:space="preserve">BIM Coordinator </t>
  </si>
  <si>
    <t xml:space="preserve">External </t>
  </si>
  <si>
    <t>Others</t>
  </si>
  <si>
    <t>BIM Designer Teams</t>
  </si>
  <si>
    <t>Project template have settings expressed in all Views</t>
  </si>
  <si>
    <t>Project template have settings expressed in MVD</t>
  </si>
  <si>
    <t xml:space="preserve">MVD Refers to </t>
  </si>
  <si>
    <t>Coordination</t>
  </si>
  <si>
    <t xml:space="preserve">Structural Analysis </t>
  </si>
  <si>
    <t xml:space="preserve">Energy Analysis </t>
  </si>
  <si>
    <t>Quantity Take off</t>
  </si>
  <si>
    <t xml:space="preserve">Specifcs MVDs </t>
  </si>
  <si>
    <t xml:space="preserve">Project Template includes a guide for designers </t>
  </si>
  <si>
    <t xml:space="preserve">Project Templates have distencive Elements for Renovation Projects </t>
  </si>
  <si>
    <t xml:space="preserve">Follows Naming Convention </t>
  </si>
  <si>
    <t>MEP project Template</t>
  </si>
  <si>
    <t>MEP Template Includes</t>
  </si>
  <si>
    <t>heatingradiators: supply andreturn</t>
  </si>
  <si>
    <t>heating floor: supply and return</t>
  </si>
  <si>
    <t>heatingdistrict: supply and return</t>
  </si>
  <si>
    <t>coolingsplit system: supply and return</t>
  </si>
  <si>
    <t>coolingnetwork: supply and return</t>
  </si>
  <si>
    <t>potable water system</t>
  </si>
  <si>
    <t>Sewage system</t>
  </si>
  <si>
    <t>Rainwater system.</t>
  </si>
  <si>
    <t>Greywater system</t>
  </si>
  <si>
    <t>Ventilation–fresh air.</t>
  </si>
  <si>
    <t>Ventilation–supply air</t>
  </si>
  <si>
    <t>Ventilation–return ai</t>
  </si>
  <si>
    <t>Ventilation–exhaust air</t>
  </si>
  <si>
    <t>Natural gas.</t>
  </si>
  <si>
    <t xml:space="preserve">Type of Piping used is Defined according to </t>
  </si>
  <si>
    <t xml:space="preserve">Material </t>
  </si>
  <si>
    <t xml:space="preserve">Diameter </t>
  </si>
  <si>
    <t>Fluid Circulating</t>
  </si>
  <si>
    <t>MEP Elements are assigned different colors and specs</t>
  </si>
  <si>
    <t xml:space="preserve">Type of Ducts used is Defined according to </t>
  </si>
  <si>
    <t xml:space="preserve">Type of Electrical Systems used is Defined according to </t>
  </si>
  <si>
    <t>Co-ordination &amp; Units</t>
  </si>
  <si>
    <t>Coordination and Units are defined in the BEP and follows the Commonly Used Units ?</t>
  </si>
  <si>
    <t>Level and grid definition</t>
  </si>
  <si>
    <t>Level and Grid definition are identified and represented in the model ?</t>
  </si>
  <si>
    <t>Level of development</t>
  </si>
  <si>
    <t>Level of Geometry follows the ISO 19650-1 Scope ?</t>
  </si>
  <si>
    <t>Level of information follow the ISO 19650-1 Scope ?</t>
  </si>
  <si>
    <t>Modelling phases and model management</t>
  </si>
  <si>
    <t>Renovation Projects includes 3 Phases (Exisiting, Demolititon, New Phase ) , are they are identified in the BIM Model</t>
  </si>
  <si>
    <t>Does the Model Have multiple Break downs ?</t>
  </si>
  <si>
    <t>Data ownership and responsibility</t>
  </si>
  <si>
    <t>Data Owner ship and Responsability Matrix is idenetified in the BEP ?</t>
  </si>
  <si>
    <t>Consequences of software updates</t>
  </si>
  <si>
    <t>Back up plan is available for the entire BIM Project</t>
  </si>
  <si>
    <t>Export settings</t>
  </si>
  <si>
    <t>Export Settings follows the guidelines of ISO 29481-1:2016</t>
  </si>
  <si>
    <t>None</t>
  </si>
  <si>
    <t>BIM Modeling Guidelines</t>
  </si>
  <si>
    <t>weight</t>
  </si>
  <si>
    <t>Total</t>
  </si>
  <si>
    <t>Max</t>
  </si>
  <si>
    <t>Category</t>
  </si>
  <si>
    <t>BIM Model Project Template</t>
  </si>
  <si>
    <t>MEP Project Template</t>
  </si>
  <si>
    <t>Co-ordinates &amp; Units</t>
  </si>
  <si>
    <t xml:space="preserve">Levels &amp; Grid Definition </t>
  </si>
  <si>
    <t>LOD</t>
  </si>
  <si>
    <t>Modelling Phases and Model Management</t>
  </si>
  <si>
    <t>Model Breakdown Strategy</t>
  </si>
  <si>
    <t>Data Ownership &amp; Responsabilities</t>
  </si>
  <si>
    <t>Consequeneces of Software Updates</t>
  </si>
  <si>
    <t>Export Settings</t>
  </si>
  <si>
    <t xml:space="preserve">Building Guidelines Information Manual </t>
  </si>
  <si>
    <t>Building Topology</t>
  </si>
  <si>
    <t>Project Scale Budget in €</t>
  </si>
  <si>
    <t>Project Scale Build Area in m^2</t>
  </si>
  <si>
    <t>OPTIMIZED</t>
  </si>
  <si>
    <t>IMPLEMENTED</t>
  </si>
  <si>
    <t>MANAGED</t>
  </si>
  <si>
    <t>Are data security and property rights defined in contractural documents?</t>
  </si>
  <si>
    <t>Are the information flows between your organization and your (project) partners described/written down?</t>
  </si>
  <si>
    <t>Model breakdown strategy and
 work-sharing (CIVIL, INFRA, MEP)</t>
  </si>
  <si>
    <t>MATURITY CLASSIFICATION</t>
  </si>
  <si>
    <t>BIM follows ISO</t>
  </si>
  <si>
    <t>Ontologies</t>
  </si>
  <si>
    <t>RATING</t>
  </si>
  <si>
    <t>ACTIONS REQUIERED</t>
  </si>
  <si>
    <t>Reno-Inst Ontology</t>
  </si>
  <si>
    <t>Output Flows</t>
  </si>
  <si>
    <t>Waste Categories</t>
  </si>
  <si>
    <t xml:space="preserve">Net Present Value </t>
  </si>
  <si>
    <t>Real Cost</t>
  </si>
  <si>
    <t xml:space="preserve">Internal Rate of Return </t>
  </si>
  <si>
    <t>BIM Ontologies</t>
  </si>
  <si>
    <t>Building Model contains Building Elements representing External Elements</t>
  </si>
  <si>
    <t>External Elements includes Roof and Façade</t>
  </si>
  <si>
    <t>Building Model contains Building Elements representing Inner Elements</t>
  </si>
  <si>
    <t xml:space="preserve">Inner Elements includes Walls, Floor &amp; Ceiling </t>
  </si>
  <si>
    <t>Minimal Adjustments</t>
  </si>
  <si>
    <t xml:space="preserve">Preserved </t>
  </si>
  <si>
    <t>Requieres Construction</t>
  </si>
  <si>
    <t xml:space="preserve">Requieres Demolition </t>
  </si>
  <si>
    <t>Requieres Renovation</t>
  </si>
  <si>
    <t xml:space="preserve">All Building Elements is described by an Interface </t>
  </si>
  <si>
    <t>All Building Elements has location identified</t>
  </si>
  <si>
    <t>Building Model contains Documentation including Drawings, Manufacture Instruction, Standards &amp; Survey Sheet</t>
  </si>
  <si>
    <t>Author</t>
  </si>
  <si>
    <t>Cost</t>
  </si>
  <si>
    <t>Description</t>
  </si>
  <si>
    <t>Duration</t>
  </si>
  <si>
    <t>ID</t>
  </si>
  <si>
    <t>Installation Position</t>
  </si>
  <si>
    <t>Manufacturer</t>
  </si>
  <si>
    <t>Documentation includes:</t>
  </si>
  <si>
    <t>Building Elements contains either Functional or Interface Components</t>
  </si>
  <si>
    <t>All Building Elements is linked to Constructive or System Interface</t>
  </si>
  <si>
    <t>Constructive Interface is defined by Units</t>
  </si>
  <si>
    <t>Area</t>
  </si>
  <si>
    <t>Openings</t>
  </si>
  <si>
    <t>Points</t>
  </si>
  <si>
    <t>System Interface is defined by Units</t>
  </si>
  <si>
    <t>Pipes</t>
  </si>
  <si>
    <t>Valves</t>
  </si>
  <si>
    <t>Interfaces has Material, Dimensions &amp; Other phyiscal attributes described</t>
  </si>
  <si>
    <t>please state unit used</t>
  </si>
  <si>
    <t>LCA-C Ontology</t>
  </si>
  <si>
    <t>Names</t>
  </si>
  <si>
    <t>Qualities</t>
  </si>
  <si>
    <t>Types</t>
  </si>
  <si>
    <t>Units</t>
  </si>
  <si>
    <t xml:space="preserve">BIM Model </t>
  </si>
  <si>
    <t>description</t>
  </si>
  <si>
    <t xml:space="preserve">Name </t>
  </si>
  <si>
    <t>Quantaties</t>
  </si>
  <si>
    <t xml:space="preserve">Reference Service Life </t>
  </si>
  <si>
    <t>Values</t>
  </si>
  <si>
    <t>Year of Replacement</t>
  </si>
  <si>
    <t>BIM Data Property contains</t>
  </si>
  <si>
    <t>Building life cycle stage</t>
  </si>
  <si>
    <t>Product</t>
  </si>
  <si>
    <t>Construction</t>
  </si>
  <si>
    <t>Use</t>
  </si>
  <si>
    <t>End of Life</t>
  </si>
  <si>
    <t>Acquisition Cost</t>
  </si>
  <si>
    <t>Installation Cost</t>
  </si>
  <si>
    <t>Transport Cost</t>
  </si>
  <si>
    <t>Cost at Disposal</t>
  </si>
  <si>
    <t>End of Life Residual Valuation</t>
  </si>
  <si>
    <t>Global Cost</t>
  </si>
  <si>
    <t>Annual Cost</t>
  </si>
  <si>
    <t>Investments Cost</t>
  </si>
  <si>
    <t>Net Savings</t>
  </si>
  <si>
    <t>Payback Period</t>
  </si>
  <si>
    <t>Savings to Investment Ration</t>
  </si>
  <si>
    <t>Mantainance Cost</t>
  </si>
  <si>
    <t>Cleaning and Minor Repairs</t>
  </si>
  <si>
    <t>Indirect cost of Maintainance</t>
  </si>
  <si>
    <t>Maintainance Activities</t>
  </si>
  <si>
    <t>Maintainance Management Activities</t>
  </si>
  <si>
    <t xml:space="preserve">Building Cost Parameter Type </t>
  </si>
  <si>
    <t>Discount Cost</t>
  </si>
  <si>
    <t>Nominal Cost</t>
  </si>
  <si>
    <t xml:space="preserve">Building life cycle stage Boundries </t>
  </si>
  <si>
    <t>for Product Stage</t>
  </si>
  <si>
    <t xml:space="preserve">Raw Material Supply </t>
  </si>
  <si>
    <t xml:space="preserve">Transport </t>
  </si>
  <si>
    <t xml:space="preserve">Manufacturing </t>
  </si>
  <si>
    <t>for Construction Stage</t>
  </si>
  <si>
    <t>Transport</t>
  </si>
  <si>
    <t>Construction Instalation</t>
  </si>
  <si>
    <t>for Use Stage</t>
  </si>
  <si>
    <t>Installed Product use</t>
  </si>
  <si>
    <t xml:space="preserve">Maintainance </t>
  </si>
  <si>
    <t>Operational Energy Use</t>
  </si>
  <si>
    <t>Operation Water Use</t>
  </si>
  <si>
    <t>Refurbishment</t>
  </si>
  <si>
    <t>Repair</t>
  </si>
  <si>
    <t>Replacements</t>
  </si>
  <si>
    <t>for End of Life Stage</t>
  </si>
  <si>
    <t>Deconstruction</t>
  </si>
  <si>
    <t>Waste Disposal</t>
  </si>
  <si>
    <t>Waste processing</t>
  </si>
  <si>
    <t>Assumption</t>
  </si>
  <si>
    <t>Desription Scenario</t>
  </si>
  <si>
    <t>Boundry Scenario is a</t>
  </si>
  <si>
    <t>Information Req.</t>
  </si>
  <si>
    <t>Eniromental Impact</t>
  </si>
  <si>
    <t>Resources Use</t>
  </si>
  <si>
    <t xml:space="preserve">Enviromental Indicators is type off  </t>
  </si>
  <si>
    <t>Assessment Building General Information</t>
  </si>
  <si>
    <t>Building Type</t>
  </si>
  <si>
    <t>Requiered Service Life</t>
  </si>
  <si>
    <t>Technical Requierments</t>
  </si>
  <si>
    <t>Intial Building Lifetime</t>
  </si>
  <si>
    <t xml:space="preserve">Year of Commissioning </t>
  </si>
  <si>
    <t>Year of Previous Refurbishment</t>
  </si>
  <si>
    <t>Standard or Guidelines Used</t>
  </si>
  <si>
    <t>Annex 56</t>
  </si>
  <si>
    <t>EeB Guide</t>
  </si>
  <si>
    <t>EN 15978</t>
  </si>
  <si>
    <t>ISO 14044</t>
  </si>
  <si>
    <t>Building includes Materials and Renovation Products</t>
  </si>
  <si>
    <t>Materials used</t>
  </si>
  <si>
    <t>Renovation Products includes</t>
  </si>
  <si>
    <t>Building Cost Indicator is type of</t>
  </si>
  <si>
    <t>BEM Reno</t>
  </si>
  <si>
    <t>Name</t>
  </si>
  <si>
    <t>Definition/Description</t>
  </si>
  <si>
    <t xml:space="preserve">KPI  </t>
  </si>
  <si>
    <t>Buildings</t>
  </si>
  <si>
    <t>EE1</t>
  </si>
  <si>
    <t>Total primary energy consumption</t>
  </si>
  <si>
    <t>kWh/m2 /year</t>
  </si>
  <si>
    <t>Input</t>
  </si>
  <si>
    <t>EE2</t>
  </si>
  <si>
    <t>PENRT Primary energy nonrenewable total</t>
  </si>
  <si>
    <t>EE3</t>
  </si>
  <si>
    <t>Electric energy consumption</t>
  </si>
  <si>
    <t>the building's total electric energy consumed for the operation 
of HVAC systems, lighting and appliances</t>
  </si>
  <si>
    <t>Natural gas energy consumption</t>
  </si>
  <si>
    <t>District heating energy consumption</t>
  </si>
  <si>
    <t>e.g. diesel, biomass energy consumption</t>
  </si>
  <si>
    <t>Other fuel types</t>
  </si>
  <si>
    <t>EE4</t>
  </si>
  <si>
    <t>EE5</t>
  </si>
  <si>
    <t>EE6</t>
  </si>
  <si>
    <t>Peak heating load and heating load
profile</t>
  </si>
  <si>
    <t>Watts</t>
  </si>
  <si>
    <t>the cooling power profile for a specific period of time in Watts and its maximum/peak
value</t>
  </si>
  <si>
    <t>Peak cooling load and cooling load profile</t>
  </si>
  <si>
    <t>Heating and cooling energy demand</t>
  </si>
  <si>
    <t>Peak electricity load and electricity load profile</t>
  </si>
  <si>
    <t>the electricity power profile for a specific period of time in Watts and its maximum/peak value</t>
  </si>
  <si>
    <t>PV electric energy generation</t>
  </si>
  <si>
    <t>the electric energy generated by photovoltaic panels installed in the building – to be discussed if pv installations will be candidate renovation measures</t>
  </si>
  <si>
    <t>Solar thermal energy generation</t>
  </si>
  <si>
    <t>the thermal energy generated by solar thermal panels installed in the building – to be discussed if solar thermal panels installations will be candidate renovation measures</t>
  </si>
  <si>
    <t>EE7</t>
  </si>
  <si>
    <t>EE8</t>
  </si>
  <si>
    <t>EE9</t>
  </si>
  <si>
    <t>EE10</t>
  </si>
  <si>
    <t>EE11</t>
  </si>
  <si>
    <t>EE12</t>
  </si>
  <si>
    <t>Impact Indicator</t>
  </si>
  <si>
    <t>Annual Energy Savings</t>
  </si>
  <si>
    <t>Aggregate annual energy saving at premises</t>
  </si>
  <si>
    <t>Energy Savings (percentage)</t>
  </si>
  <si>
    <t>Percentage reduction of energy need</t>
  </si>
  <si>
    <t>Reduction of peak energy load (percentage)</t>
  </si>
  <si>
    <t>Percentage reduction of peak energy load</t>
  </si>
  <si>
    <t>GHG emissions reduction (percentage)</t>
  </si>
  <si>
    <t>Percentage reduction of GHG emissions</t>
  </si>
  <si>
    <t>%</t>
  </si>
  <si>
    <t>the building's total natural gas energy consumed for the
operation of HVAC systems and appliances</t>
  </si>
  <si>
    <t>the heating power profile for a specific period of time in
Watts and its maximum/peak value</t>
  </si>
  <si>
    <t xml:space="preserve">Energy KPI </t>
  </si>
  <si>
    <t>Sustainability KPIs</t>
  </si>
  <si>
    <t>SU1</t>
  </si>
  <si>
    <t>Global Warming Potential</t>
  </si>
  <si>
    <t>Water pollution</t>
  </si>
  <si>
    <t>Air pollution</t>
  </si>
  <si>
    <t>Environmental Cost Indicator</t>
  </si>
  <si>
    <t>SU2</t>
  </si>
  <si>
    <t>SU3</t>
  </si>
  <si>
    <t>SU4</t>
  </si>
  <si>
    <t>Indicator that unites all relevant environmental impacts into a single score of environmental costs, representing the environmental shadow price of a product or project.</t>
  </si>
  <si>
    <t>Indicator of the amount of air required to dilute toxic elements emitted into air</t>
  </si>
  <si>
    <t>Indicator of the amount of water required to dilute toxic elements emitted into water or soil</t>
  </si>
  <si>
    <t>Indicator of potential global warming due to emissions of greenhouse gases to air</t>
  </si>
  <si>
    <t>kg CO2eq/ m2</t>
  </si>
  <si>
    <t>m3/m2</t>
  </si>
  <si>
    <t>€/m2</t>
  </si>
  <si>
    <t>impact Indicator</t>
  </si>
  <si>
    <t>Return on Investment (ROI)</t>
  </si>
  <si>
    <t>ROI assessment of energy by using the overall investment costs and the saving in energy running costs over a defined period of time</t>
  </si>
  <si>
    <t>Estimated by the ratio of investment costs over the yearly savings in energy running costs</t>
  </si>
  <si>
    <t>years</t>
  </si>
  <si>
    <t>Increase in rental rate of building</t>
  </si>
  <si>
    <t>Percentage of rental rate increase of the renovated building</t>
  </si>
  <si>
    <t>Increase of resale rate of building</t>
  </si>
  <si>
    <t>Percentage of resale rate increase of the renovated building</t>
  </si>
  <si>
    <t>the building's total districtheating energy consumed for the operation of HVAC systems and domestic hot water equipment</t>
  </si>
  <si>
    <t>Primary energy consumption refers to the direct use at the source,  or supply to users without transformation, of crude energy, that is,  energy that has not been subjected to any conversion or transformation process</t>
  </si>
  <si>
    <t>Notes</t>
  </si>
  <si>
    <t>Façade only</t>
  </si>
  <si>
    <t>Roof &amp; Façade</t>
  </si>
  <si>
    <t>what is the roof elements state interface</t>
  </si>
  <si>
    <t>what is the Façade elements state interface</t>
  </si>
  <si>
    <t>Roof only</t>
  </si>
  <si>
    <t>what is the walls elements state interface</t>
  </si>
  <si>
    <t>what is the floors elements state interface</t>
  </si>
  <si>
    <t>what is the ceiling elements state interface</t>
  </si>
  <si>
    <t>Walls only</t>
  </si>
  <si>
    <t>Floors Only</t>
  </si>
  <si>
    <t>Ceilings only</t>
  </si>
  <si>
    <t>Walls &amp; Floors</t>
  </si>
  <si>
    <t>Walls &amp; Ceilings</t>
  </si>
  <si>
    <t>Floors &amp; Ceilings</t>
  </si>
  <si>
    <t>All three exists</t>
  </si>
  <si>
    <t>Please note that BIM Passport is intended to be used as a tool for managing and evaluating building data, but it is not a substitute for professional advice. The information provided by BIM Passport is based on the data that you add to the questionnaire, and we cannot guarantee its accuracy or completeness. We recommend that you consult with qualified professionals before making any decisions based on the information provided by BIM Passport.</t>
  </si>
  <si>
    <t xml:space="preserve">The policies aspect of project maturity looks at the regulations, guidelines, and standards that are in place to govern your building projects. </t>
  </si>
  <si>
    <t xml:space="preserve">The people aspect of project maturity looks at the skills and expertise of the individuals involved in your building projects. </t>
  </si>
  <si>
    <t xml:space="preserve">The technology aspect of project maturity looks at the use of technology in your building projects. </t>
  </si>
  <si>
    <t xml:space="preserve">The processes aspect of project maturity looks at the systems and procedures that are in place to manage your building projects. </t>
  </si>
  <si>
    <t>Maturity Tool</t>
  </si>
  <si>
    <r>
      <t xml:space="preserve">The BIM Modeling Guidelines section of </t>
    </r>
    <r>
      <rPr>
        <b/>
        <sz val="16"/>
        <color rgb="FF374151"/>
        <rFont val="Calibri Light"/>
        <family val="2"/>
        <scheme val="major"/>
      </rPr>
      <t>BIM Passport</t>
    </r>
    <r>
      <rPr>
        <sz val="16"/>
        <color rgb="FF374151"/>
        <rFont val="Calibri Light"/>
        <family val="2"/>
        <scheme val="major"/>
      </rPr>
      <t xml:space="preserve">  is designed to help you evaluate the quality and consistency of your building information models. 
BIM  is a digital representation of a building's physical and functional characteristics, and it is an essential tool for managing and coordinating building projects.</t>
    </r>
  </si>
  <si>
    <r>
      <t xml:space="preserve">Overall, the BIM Modeling Guidelines section of </t>
    </r>
    <r>
      <rPr>
        <b/>
        <sz val="16"/>
        <color rgb="FF374151"/>
        <rFont val="Calibri Light"/>
        <family val="2"/>
        <scheme val="major"/>
      </rPr>
      <t xml:space="preserve">BIM Passport </t>
    </r>
    <r>
      <rPr>
        <sz val="16"/>
        <color rgb="FF374151"/>
        <rFont val="Calibri Light"/>
        <family val="2"/>
        <scheme val="major"/>
      </rPr>
      <t xml:space="preserve"> is a valuable tool for building owners, architects, and construction professionals who want 
to improve the quality and consistency of their building information models.</t>
    </r>
  </si>
  <si>
    <t>Ontologies Evaluation</t>
  </si>
  <si>
    <t>The Reno-inst ontology is a standardized ontology for representing the physical characteristics of buildings. It includes concepts like building materials, building systems, and other physical aspects of a building.</t>
  </si>
  <si>
    <t>The LCA/C ontology is a standardized ontology for representing the environmental impact of buildings. It includes concepts like carbon emissions, water usage, and other factors that are relevant to the environmental performance of a building.</t>
  </si>
  <si>
    <t>The BEM Reno ontology is a standardized ontology for representing the functional characteristics of buildings. It includes concepts like building usage, occupant behavior, and other factors that are relevant to the functionality of a building.</t>
  </si>
  <si>
    <t>By regularly tracking and evaluating your building ontologies, you can develop a comprehensive understanding of the data that is associated with your building projects. This can help you make more informed decisions about your projects, and it can support the development of more sustainable and efficient buildings.</t>
  </si>
  <si>
    <r>
      <t xml:space="preserve">The Building Ontologies section of </t>
    </r>
    <r>
      <rPr>
        <b/>
        <sz val="16"/>
        <color rgb="FF374151"/>
        <rFont val="Calibri Light"/>
        <family val="2"/>
        <scheme val="major"/>
      </rPr>
      <t xml:space="preserve">BIM Passport </t>
    </r>
    <r>
      <rPr>
        <sz val="16"/>
        <color rgb="FF374151"/>
        <rFont val="Calibri Light"/>
        <family val="2"/>
        <scheme val="major"/>
      </rPr>
      <t xml:space="preserve"> is designed to help you evaluate the data that is associated with your building projects. An ontology is a formal representation of a set of concepts within a domain and the relationships between those concepts. In the context of building information modeling, ontologies are used to represent the data that is associated with a building, such as its physical characteristics, functional characteristics, and other relevant information.</t>
    </r>
  </si>
  <si>
    <r>
      <t xml:space="preserve">The Building Ontologies section of </t>
    </r>
    <r>
      <rPr>
        <b/>
        <sz val="16"/>
        <color rgb="FF374151"/>
        <rFont val="Calibri Light"/>
        <family val="2"/>
        <scheme val="major"/>
      </rPr>
      <t xml:space="preserve">BIM Passport </t>
    </r>
    <r>
      <rPr>
        <sz val="16"/>
        <color rgb="FF374151"/>
        <rFont val="Calibri Light"/>
        <family val="2"/>
        <scheme val="major"/>
      </rPr>
      <t xml:space="preserve"> allows you to track and evaluate the data that is associated with your building projects across three ontologies: 
the Reno-inst ontology, the LCA/C ontology, and the BEM Reno ontology.</t>
    </r>
  </si>
  <si>
    <r>
      <t xml:space="preserve">The evaluation style used in </t>
    </r>
    <r>
      <rPr>
        <b/>
        <sz val="16"/>
        <color rgb="FF374151"/>
        <rFont val="Calibri Light"/>
        <family val="2"/>
        <scheme val="major"/>
      </rPr>
      <t xml:space="preserve">BIM Passport </t>
    </r>
    <r>
      <rPr>
        <sz val="16"/>
        <color rgb="FF374151"/>
        <rFont val="Calibri Light"/>
        <family val="2"/>
        <scheme val="major"/>
      </rPr>
      <t xml:space="preserve"> is designed to help you track and evaluate the progress of your building projects.
In the Project Maturity and BIM Modeling Guidelines sections, the evaluation is based on a questionnaire that you can complete to provide information about your building projects. The questionnaire is designed to capture key information about your projects, such as the policies and regulations that are in place, the skills and expertise of your project team, the systems and procedures that are used to manage your projects, and the use of technology in your projects.</t>
    </r>
  </si>
  <si>
    <t>By regularly tracking and evaluating your BIM modeling guidelines, you can ensure that your building information models are accurate, complete, and consistent. This can improve the efficiency and effectiveness of your building projects, and it can help you make more informed decisions about your projects.</t>
  </si>
  <si>
    <r>
      <t xml:space="preserve">The BIM Modeling Guidelines section of </t>
    </r>
    <r>
      <rPr>
        <b/>
        <sz val="16"/>
        <color rgb="FF374151"/>
        <rFont val="Calibri Light"/>
        <family val="2"/>
        <scheme val="major"/>
      </rPr>
      <t xml:space="preserve">BIM Passport </t>
    </r>
    <r>
      <rPr>
        <sz val="16"/>
        <color rgb="FF374151"/>
        <rFont val="Calibri Light"/>
        <family val="2"/>
        <scheme val="major"/>
      </rPr>
      <t xml:space="preserve"> allows you to track and evaluate the adherence of your BIM models to industry-standard modeling guidelines. This includes things like the use of consistent naming conventions, the inclusion of relevant metadata, and the adherence to other best practices for BIM modeling.</t>
    </r>
  </si>
  <si>
    <r>
      <t xml:space="preserve">Welcome to </t>
    </r>
    <r>
      <rPr>
        <b/>
        <sz val="16"/>
        <color theme="1"/>
        <rFont val="Calibri Light"/>
        <family val="2"/>
        <scheme val="major"/>
      </rPr>
      <t>BIM Passport</t>
    </r>
    <r>
      <rPr>
        <sz val="16"/>
        <color theme="1"/>
        <rFont val="Calibri Light"/>
        <family val="2"/>
        <scheme val="major"/>
      </rPr>
      <t xml:space="preserve">, 
the  tool for managing and evaluating your building data. With </t>
    </r>
    <r>
      <rPr>
        <b/>
        <sz val="16"/>
        <color theme="1"/>
        <rFont val="Calibri Light"/>
        <family val="2"/>
        <scheme val="major"/>
      </rPr>
      <t>BIM Passport,</t>
    </r>
    <r>
      <rPr>
        <sz val="16"/>
        <color theme="1"/>
        <rFont val="Calibri Light"/>
        <family val="2"/>
        <scheme val="major"/>
      </rPr>
      <t xml:space="preserve">  you can easily collect and organize data from your building owner and evaluate it across three important categories: 
              - Project Maturity, 
              - BIM Modeling Guidelines, 
              - and Building Ontologies.</t>
    </r>
  </si>
  <si>
    <r>
      <rPr>
        <b/>
        <sz val="16"/>
        <color theme="1"/>
        <rFont val="Calibri Light"/>
        <family val="2"/>
        <scheme val="major"/>
      </rPr>
      <t xml:space="preserve">BIM Passport </t>
    </r>
    <r>
      <rPr>
        <sz val="16"/>
        <color theme="1"/>
        <rFont val="Calibri Light"/>
        <family val="2"/>
        <scheme val="major"/>
      </rPr>
      <t xml:space="preserve"> is designed to help building owners, architects, and construction professionals take control of their building data and use it to make informed decisions about their projects. 
With </t>
    </r>
    <r>
      <rPr>
        <b/>
        <sz val="16"/>
        <color theme="1"/>
        <rFont val="Calibri Light"/>
        <family val="2"/>
        <scheme val="major"/>
      </rPr>
      <t>BIM Passport</t>
    </r>
    <r>
      <rPr>
        <sz val="16"/>
        <color theme="1"/>
        <rFont val="Calibri Light"/>
        <family val="2"/>
        <scheme val="major"/>
      </rPr>
      <t>,  you can track the progress of your projects, ensure that your modeling guidelines are being followed, and develop a comprehensive understanding of your building's ontologies.</t>
    </r>
  </si>
  <si>
    <r>
      <t xml:space="preserve">To get started with </t>
    </r>
    <r>
      <rPr>
        <b/>
        <sz val="16"/>
        <color theme="1"/>
        <rFont val="Calibri Light"/>
        <family val="2"/>
        <scheme val="major"/>
      </rPr>
      <t>BIM Passport</t>
    </r>
    <r>
      <rPr>
        <sz val="16"/>
        <color theme="1"/>
        <rFont val="Calibri Light"/>
        <family val="2"/>
        <scheme val="major"/>
      </rPr>
      <t xml:space="preserve">,  simply go to the passport sheet and start the data collection process. 
</t>
    </r>
    <r>
      <rPr>
        <b/>
        <sz val="16"/>
        <color theme="1"/>
        <rFont val="Calibri Light"/>
        <family val="2"/>
        <scheme val="major"/>
      </rPr>
      <t xml:space="preserve">BIM Passport  </t>
    </r>
    <r>
      <rPr>
        <sz val="16"/>
        <color theme="1"/>
        <rFont val="Calibri Light"/>
        <family val="2"/>
        <scheme val="major"/>
      </rPr>
      <t>will automatically evaluate your data and provide you with a detailed report on your project's maturity, modeling guidelines, and building ontologies. 
You can then use this information to improve your building processes and make more informed decisions about your projects.</t>
    </r>
  </si>
  <si>
    <r>
      <t xml:space="preserve">Once you have completed the questionnaire, </t>
    </r>
    <r>
      <rPr>
        <b/>
        <sz val="16"/>
        <color rgb="FF374151"/>
        <rFont val="Calibri Light"/>
        <family val="2"/>
        <scheme val="major"/>
      </rPr>
      <t xml:space="preserve">BIM Passport  </t>
    </r>
    <r>
      <rPr>
        <sz val="16"/>
        <color rgb="FF374151"/>
        <rFont val="Calibri Light"/>
        <family val="2"/>
        <scheme val="major"/>
      </rPr>
      <t>will automatically evaluate your answers and provide you with a detailed report on the progress of your projects. The report will include graphs and other visualizations that can help you understand the strengths and weaknesses of your projects, and it will provide you with actionable insights that you can use to improve your building processes.</t>
    </r>
  </si>
  <si>
    <r>
      <t xml:space="preserve">In the Building Ontologies section, the evaluation is also based on a questionnaire that you can complete to provide information about the data that is associated with your building projects. Once you have completed the questionnaire, </t>
    </r>
    <r>
      <rPr>
        <b/>
        <sz val="16"/>
        <color rgb="FF374151"/>
        <rFont val="Calibri Light"/>
        <family val="2"/>
        <scheme val="major"/>
      </rPr>
      <t>BIM Passport</t>
    </r>
    <r>
      <rPr>
        <sz val="16"/>
        <color rgb="FF374151"/>
        <rFont val="Calibri Light"/>
        <family val="2"/>
        <scheme val="major"/>
      </rPr>
      <t xml:space="preserve">  will automatically evaluate your answers and provide you with a certificate that indicates the completeness and consistency of your building data. The certificate can be used to demonstrate the quality of your building data to stakeholders, such as clients, regulators, and other interested parties.</t>
    </r>
  </si>
  <si>
    <r>
      <t xml:space="preserve">Overall, the evaluation style used in </t>
    </r>
    <r>
      <rPr>
        <b/>
        <sz val="16"/>
        <color rgb="FF374151"/>
        <rFont val="Calibri Light"/>
        <family val="2"/>
        <scheme val="major"/>
      </rPr>
      <t>BIM Passport</t>
    </r>
    <r>
      <rPr>
        <sz val="16"/>
        <color rgb="FF374151"/>
        <rFont val="Calibri Light"/>
        <family val="2"/>
        <scheme val="major"/>
      </rPr>
      <t xml:space="preserve">  is designed to provide you with a comprehensive and user-friendly way to track and evaluate the progress of your building projects.</t>
    </r>
  </si>
  <si>
    <r>
      <t xml:space="preserve">Overall, the Project Maturity section of </t>
    </r>
    <r>
      <rPr>
        <b/>
        <sz val="16"/>
        <color rgb="FF374151"/>
        <rFont val="Calibri Light"/>
        <family val="2"/>
        <scheme val="major"/>
      </rPr>
      <t xml:space="preserve">BIM Passport </t>
    </r>
    <r>
      <rPr>
        <sz val="16"/>
        <color rgb="FF374151"/>
        <rFont val="Calibri Light"/>
        <family val="2"/>
        <scheme val="major"/>
      </rPr>
      <t xml:space="preserve"> is designed to help you assess the progress of your building projects and identify areas for improvement. 
By regularly tracking and evaluating your project maturity, you can make more informed decisions about your projects and ensure that they are completed successfully.</t>
    </r>
  </si>
  <si>
    <r>
      <t xml:space="preserve">The Project Maturity section of </t>
    </r>
    <r>
      <rPr>
        <b/>
        <sz val="16"/>
        <color rgb="FF374151"/>
        <rFont val="Calibri Light"/>
        <family val="2"/>
        <scheme val="major"/>
      </rPr>
      <t xml:space="preserve">BIM Passport </t>
    </r>
    <r>
      <rPr>
        <sz val="16"/>
        <color rgb="FF374151"/>
        <rFont val="Calibri Light"/>
        <family val="2"/>
        <scheme val="major"/>
      </rPr>
      <t xml:space="preserve"> is designed to help you evaluate the overall maturity of your building projects. This evaluation is based on four key aspects: policies, people, processes, and technology.</t>
    </r>
  </si>
  <si>
    <t>The BIM Passport includes a BIM maturity evaluation, which is a tool used to assess an organization's level of maturity in using Building Information Modeling (BIM). 
The evaluation is based on a set of nine categories that represent key aspects of BIM adoption and implementation, such as processes, technology, and collaboration.</t>
  </si>
  <si>
    <t>The spider graph can be used as a baseline to compare an organization's current level of BIM maturity to the level of maturity needed for a specific project or use case. 
This allows organizations to identify areas where they may need to improve in order to meet the requirements of a particular project or use case. The spider graph can also be used to track an organization's progress over time, as it allows for easy comparison of BIM maturity scores from one evaluation to the next.</t>
  </si>
  <si>
    <t>The output of the BIM maturity evaluation is a spider graph, which is a visual representation of the scores for each of the 13 categories. 
The spider graph is divided into segments, with each segment representing one of the thirteen categories. The size of each segment reflects the score for that category, with larger segments indicating a higher level of maturity.</t>
  </si>
  <si>
    <t>In addition to providing a score, the BIM Passport also offers recommendations and actions that an organization can take to improve their BIM maturity. 
These recommendations are based on the organization's scores in each category, and can help the organization identify areas where they may need to focus their efforts in order to improve their BIM practices and processes.</t>
  </si>
  <si>
    <t>The BIM Passport includes a third tool called the Ontologies evaluation, which is used to assess the quality and consistency of the Building Information Model (BIM) ontologies used by an organization. 
Ontologies are standardized vocabularies that are used to describe and classify the various elements and concepts in a BIM model, such as objects, materials, and systems.</t>
  </si>
  <si>
    <t>Once the evaluation is completed, the BIM Passport determines whether the organization has passed a certain threshold for ontology quality and consistency. 
If the organization passes this threshold, the passport is considered to be certified, which indicates that the organization's BIM ontologies meet the required standards.</t>
  </si>
  <si>
    <t>BIM Ontologies Tool</t>
  </si>
  <si>
    <t>Frequently Asked Questions</t>
  </si>
  <si>
    <t xml:space="preserve">The Ontologies evaluation consists of three topics: Reno-Inst, BEM Reno, and LCA-C Ontologies. These topics cover different aspects of BIM ontologies, including the organization, structure, and content of the ontologies. 
</t>
  </si>
  <si>
    <t>The BIM Passport includes a tool called the BIM Modeling guidelines evaluation, which is used to assess the quality of a Building Information Model (BIM) based on a set of standardized criteria. The BIM Modeling guidelines evaluation is designed to help organizations ensure that their BIM models are accurate, complete, and consistent, and that they meet the requirements of a specific project or use case.</t>
  </si>
  <si>
    <t>To use the BIM Modeling guidelines evaluation, the user inputs information about the BIM model being evaluated, such as the type of project and the level of detail. The tool then evaluates the model based on a set of criteria, such as geometry, data, and interoperability, and produces a score for each criterion.</t>
  </si>
  <si>
    <t>BIM Modeling Guidelines Tool</t>
  </si>
  <si>
    <t>The output of the BIM Modeling guidelines evaluation is a box and whiskers plot, which is a visual representation of the scores for each criterion. The box and whiskers plot shows the acceptable deviation for each criterion, with the box representing the middle 50% of the data and the whiskers representing the minimum and maximum values. 
If the line graph, which shows the actual points the user collected for each criterion, is inside the acceptable area of the box and whiskers plot, the BIM Modeling guidelines evaluation is considered to be successful. This indicates that the BIM model meets the required standards and is fit for purpose.
In addition to the box and whiskers plot and line graph, the evaluation also produces a table showing the standard deviation and weight for each criterion. The standard deviation indicates the level of variation in the scores for a given criterion, while the weight reflects the relative importance of the criterion. The table allows the user to see how the different criteria contribute to the overall evaluation, and can be used to identify areas where the BIM model may need to be improved.</t>
  </si>
  <si>
    <t xml:space="preserve">In general, a low standard deviation indicates that the data points are clustered closely around the mean, while a high standard deviation indicates that the data points are more spread out. In the context of BIM modeling guidelines, a low standard deviation might indicate that a team is following the guidelines consistently, while a high standard deviation could indicate that there is a lack of consistency in how the guidelines are being followed. This is why a low standard deviation is often seen as desirable in this context.
a notes section is added  in the table, so it can be useful for allowing users to input any additional comments or observations that they may have. This can help to provide more context or detail for the information in the table, and can also be useful for tracking changes or clarifying any ambiguities. </t>
  </si>
  <si>
    <t>to be added …</t>
  </si>
  <si>
    <t xml:space="preserve">Propose the use of .ifc files to exchange information between stakeholder </t>
  </si>
  <si>
    <t xml:space="preserve">Make sure that the company's licensed software can incorporate the use of open standard. </t>
  </si>
  <si>
    <t>Create a BIM implementation plan and a roll-out plan to have BIM in our organization.</t>
  </si>
  <si>
    <t>Create a naming convention that is easy to understand and use.</t>
  </si>
  <si>
    <t xml:space="preserve">Prepare a BIM template for projects. </t>
  </si>
  <si>
    <t xml:space="preserve">Create a BIM library in which the organization will store most of the 3D objects used on projects, that are checked and reliable. </t>
  </si>
  <si>
    <t xml:space="preserve">Adopt a national or international BIM standard in the organization. </t>
  </si>
  <si>
    <t xml:space="preserve">Optimize the use of the BIM standard in the organization. </t>
  </si>
  <si>
    <t>Create regular small workshops or discussion groups in the organization to highlight the benefits of BIM or adress any concers.</t>
  </si>
  <si>
    <t xml:space="preserve">Develop guidelines so that the foundation of BIM terminology is understood. </t>
  </si>
  <si>
    <t xml:space="preserve">Optimize guidelines for the better use. </t>
  </si>
  <si>
    <t xml:space="preserve">Establish BIM quality procedures for projects. </t>
  </si>
  <si>
    <t xml:space="preserve">Create small workshops to explain the importance of BIM Quality procedure and their benefits.  </t>
  </si>
  <si>
    <t xml:space="preserve">Establish quality data checks for BIM. </t>
  </si>
  <si>
    <t xml:space="preserve">Prepare a template for data flows between parties inside a project. </t>
  </si>
  <si>
    <t>Create template for data property and security.</t>
  </si>
  <si>
    <t xml:space="preserve">Check and track the usage of the data property and security template.  </t>
  </si>
  <si>
    <t>Define the roles and responsability within a BIM project and include it in BEP.</t>
  </si>
  <si>
    <t>Define BIM Use Cases for the company</t>
  </si>
  <si>
    <t xml:space="preserve">Create training plan for new joiners and for existing staff. </t>
  </si>
  <si>
    <t>Optimize the training by gatehring feedback from participants.</t>
  </si>
  <si>
    <t xml:space="preserve">Organizate quartely, bi-annual meetings about the usage, implementation and new updates in the BIM adoption of the company. </t>
  </si>
  <si>
    <t xml:space="preserve"> </t>
  </si>
  <si>
    <t>Establish the roles in the organization and what are their expected results in BIM implementation.</t>
  </si>
  <si>
    <t xml:space="preserve">Define what are the roles and who are the people to perform training for the rest of the staff in the organization. </t>
  </si>
  <si>
    <t xml:space="preserve">Establish clear responsabilities of person who need to create BIM procedures and policies and who needs to check them. </t>
  </si>
  <si>
    <t xml:space="preserve">Perform training session for new BIM tools that are integrated in the workflow of the company. </t>
  </si>
  <si>
    <t>Create communication channel were colleagues can interact with each other ans share feedback</t>
  </si>
  <si>
    <t>Define the level of information that the company deliveres</t>
  </si>
  <si>
    <t xml:space="preserve">Create, per each level of information, list of requirements in terms of parameters, geometry, details </t>
  </si>
  <si>
    <t>Define BIM quality process and work instructions for standard tasks</t>
  </si>
  <si>
    <t>Define workflow for data information</t>
  </si>
  <si>
    <t>Select the appropiate BIM software in relation to the BIM Use Cases the company provides</t>
  </si>
  <si>
    <t>Analyze and optimize the usage of software in correlation with the workflows</t>
  </si>
  <si>
    <t>Ensure interoperability with the open BIM standard of the software used by the company</t>
  </si>
  <si>
    <t>Ensure proper hardware by yearly analysis of the requirements of the new version of software used</t>
  </si>
  <si>
    <t>Upgrade the hardware whenever necessary</t>
  </si>
  <si>
    <t>Create back-up data plan and setup a procedure in this sense</t>
  </si>
  <si>
    <t>Ensure the company uses a CDE that is relevant to the workflow of the company</t>
  </si>
  <si>
    <t>Setup procedures and workflows considering the CDE used</t>
  </si>
  <si>
    <t>Define the roles in the CDE and their responsabilities</t>
  </si>
  <si>
    <t>Rating Priority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</si>
</sst>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
  </numFmts>
  <fonts count="66">
    <font>
      <sz val="10"/>
      <color rgb="FF000000"/>
      <name val="Arial"/>
    </font>
    <font>
      <sz val="12"/>
      <color theme="1"/>
      <name val="Calibri"/>
      <family val="2"/>
      <scheme val="minor"/>
    </font>
    <font>
      <sz val="12"/>
      <color theme="1"/>
      <name val="Calibri"/>
      <family val="2"/>
      <scheme val="minor"/>
    </font>
    <font>
      <sz val="10"/>
      <name val="Arial"/>
      <family val="2"/>
    </font>
    <font>
      <sz val="8"/>
      <name val="Arial"/>
      <family val="2"/>
    </font>
    <font>
      <u/>
      <sz val="10"/>
      <color theme="10"/>
      <name val="Arial"/>
      <family val="2"/>
    </font>
    <font>
      <u/>
      <sz val="10"/>
      <color theme="11"/>
      <name val="Arial"/>
      <family val="2"/>
    </font>
    <font>
      <sz val="11"/>
      <color theme="1"/>
      <name val="Calibri"/>
      <family val="2"/>
      <scheme val="minor"/>
    </font>
    <font>
      <sz val="10"/>
      <color rgb="FF000000"/>
      <name val="Century Gothic"/>
      <family val="1"/>
    </font>
    <font>
      <sz val="10"/>
      <color theme="1"/>
      <name val="Century Gothic"/>
      <family val="1"/>
    </font>
    <font>
      <b/>
      <sz val="9"/>
      <color theme="1"/>
      <name val="Century Gothic"/>
      <family val="1"/>
    </font>
    <font>
      <sz val="11"/>
      <color theme="1"/>
      <name val="Century Gothic"/>
      <family val="1"/>
    </font>
    <font>
      <b/>
      <sz val="10"/>
      <color theme="0"/>
      <name val="Century Gothic"/>
      <family val="1"/>
    </font>
    <font>
      <b/>
      <sz val="10"/>
      <color rgb="FF000000"/>
      <name val="Century Gothic"/>
      <family val="1"/>
    </font>
    <font>
      <b/>
      <sz val="10"/>
      <color theme="1"/>
      <name val="Century Gothic"/>
      <family val="1"/>
    </font>
    <font>
      <b/>
      <sz val="24"/>
      <color rgb="FF000000"/>
      <name val="Calibri Light (Headings)"/>
    </font>
    <font>
      <sz val="11"/>
      <color rgb="FF000000"/>
      <name val="Arial"/>
      <family val="2"/>
    </font>
    <font>
      <b/>
      <sz val="16"/>
      <color rgb="FF000000"/>
      <name val="Calibri Light"/>
      <family val="2"/>
      <scheme val="major"/>
    </font>
    <font>
      <b/>
      <sz val="12"/>
      <color rgb="FF3F3F3F"/>
      <name val="Calibri"/>
      <family val="2"/>
      <scheme val="minor"/>
    </font>
    <font>
      <b/>
      <sz val="48"/>
      <color rgb="FF000000"/>
      <name val="Calibri Light"/>
      <family val="2"/>
      <scheme val="major"/>
    </font>
    <font>
      <sz val="11"/>
      <color rgb="FF000000"/>
      <name val="Calibri Light"/>
      <family val="2"/>
      <scheme val="major"/>
    </font>
    <font>
      <b/>
      <sz val="11"/>
      <color theme="3"/>
      <name val="Calibri"/>
      <family val="2"/>
      <scheme val="minor"/>
    </font>
    <font>
      <b/>
      <sz val="14"/>
      <color rgb="FF000000"/>
      <name val="Helvetica 45 Light"/>
    </font>
    <font>
      <b/>
      <sz val="14"/>
      <color theme="3"/>
      <name val="Calibri"/>
      <family val="2"/>
      <scheme val="minor"/>
    </font>
    <font>
      <sz val="14"/>
      <color rgb="FF000000"/>
      <name val="Helvetica 45 Light"/>
    </font>
    <font>
      <sz val="12"/>
      <color theme="1"/>
      <name val="Calibri Light"/>
      <family val="2"/>
      <scheme val="major"/>
    </font>
    <font>
      <sz val="16"/>
      <color rgb="FF000000"/>
      <name val="Calibri Light"/>
      <family val="2"/>
      <scheme val="major"/>
    </font>
    <font>
      <b/>
      <sz val="16"/>
      <color theme="3"/>
      <name val="Calibri"/>
      <family val="2"/>
      <scheme val="minor"/>
    </font>
    <font>
      <b/>
      <sz val="20"/>
      <color theme="3"/>
      <name val="Calibri"/>
      <family val="2"/>
      <scheme val="minor"/>
    </font>
    <font>
      <sz val="16"/>
      <color theme="3"/>
      <name val="Calibri"/>
      <family val="2"/>
      <scheme val="minor"/>
    </font>
    <font>
      <b/>
      <sz val="11"/>
      <color theme="3"/>
      <name val="Calibri (Body)"/>
    </font>
    <font>
      <b/>
      <sz val="24"/>
      <color theme="3"/>
      <name val="Calibri"/>
      <family val="2"/>
      <scheme val="minor"/>
    </font>
    <font>
      <sz val="10"/>
      <color rgb="FF000000"/>
      <name val="Arial"/>
      <family val="2"/>
    </font>
    <font>
      <b/>
      <sz val="14"/>
      <color rgb="FF000000"/>
      <name val="Calibri Light"/>
      <family val="2"/>
      <scheme val="major"/>
    </font>
    <font>
      <sz val="14"/>
      <color rgb="FF000000"/>
      <name val="Calibri Light"/>
      <family val="2"/>
      <scheme val="major"/>
    </font>
    <font>
      <b/>
      <sz val="20"/>
      <color rgb="FF000000"/>
      <name val="Calibri Light (Headings)"/>
    </font>
    <font>
      <sz val="11"/>
      <color rgb="FF000000"/>
      <name val="Calibri"/>
      <family val="2"/>
    </font>
    <font>
      <b/>
      <sz val="16"/>
      <color rgb="FF000000"/>
      <name val="Calibri Light"/>
      <family val="2"/>
    </font>
    <font>
      <sz val="16"/>
      <color theme="1"/>
      <name val="Calibri"/>
      <family val="2"/>
      <scheme val="minor"/>
    </font>
    <font>
      <sz val="11"/>
      <color rgb="FF000000"/>
      <name val="Century Gothic"/>
      <family val="1"/>
    </font>
    <font>
      <sz val="14"/>
      <color theme="3"/>
      <name val="Calibri"/>
      <family val="2"/>
      <scheme val="minor"/>
    </font>
    <font>
      <sz val="14"/>
      <color rgb="FF000000"/>
      <name val="Helvetica 45 Light"/>
      <family val="2"/>
    </font>
    <font>
      <b/>
      <sz val="14"/>
      <color rgb="FF000000"/>
      <name val="Helvetica 45 Light"/>
      <family val="2"/>
    </font>
    <font>
      <b/>
      <sz val="16"/>
      <color theme="1"/>
      <name val="Calibri Light"/>
      <family val="2"/>
      <scheme val="major"/>
    </font>
    <font>
      <sz val="16"/>
      <color theme="1"/>
      <name val="Calibri Light"/>
      <family val="2"/>
      <scheme val="major"/>
    </font>
    <font>
      <sz val="18"/>
      <color rgb="FF000000"/>
      <name val="Calibri Light"/>
      <family val="2"/>
      <scheme val="major"/>
    </font>
    <font>
      <b/>
      <sz val="11"/>
      <color theme="1"/>
      <name val="Century Gothic"/>
      <family val="1"/>
    </font>
    <font>
      <sz val="12"/>
      <color rgb="FF000000"/>
      <name val="Calibri"/>
      <family val="2"/>
    </font>
    <font>
      <sz val="12"/>
      <color theme="0" tint="-0.34998626667073579"/>
      <name val="Calibri"/>
      <family val="2"/>
      <scheme val="minor"/>
    </font>
    <font>
      <sz val="16"/>
      <color rgb="FF374151"/>
      <name val="Arial"/>
      <family val="2"/>
    </font>
    <font>
      <sz val="16"/>
      <color rgb="FF374151"/>
      <name val="Calibri Light"/>
      <family val="2"/>
      <scheme val="major"/>
    </font>
    <font>
      <sz val="18"/>
      <color theme="1"/>
      <name val="Calibri Light"/>
      <family val="2"/>
      <scheme val="major"/>
    </font>
    <font>
      <sz val="10"/>
      <color rgb="FF000000"/>
      <name val="Calibri Light"/>
      <family val="2"/>
      <scheme val="major"/>
    </font>
    <font>
      <b/>
      <sz val="16"/>
      <color rgb="FF374151"/>
      <name val="Calibri Light"/>
      <family val="2"/>
      <scheme val="major"/>
    </font>
    <font>
      <b/>
      <sz val="16"/>
      <color theme="1"/>
      <name val="Calibri"/>
      <family val="2"/>
      <scheme val="minor"/>
    </font>
    <font>
      <b/>
      <sz val="16"/>
      <color theme="1"/>
      <name val="Calibri (Body)"/>
    </font>
    <font>
      <b/>
      <sz val="20"/>
      <color theme="0" tint="-0.499984740745262"/>
      <name val="Calibri Light"/>
      <family val="2"/>
      <scheme val="major"/>
    </font>
    <font>
      <sz val="10"/>
      <color theme="2" tint="-0.749992370372631"/>
      <name val="Calibri Light"/>
      <family val="2"/>
      <scheme val="major"/>
    </font>
    <font>
      <sz val="16"/>
      <color theme="2" tint="-0.749992370372631"/>
      <name val="Calibri Light"/>
      <family val="2"/>
      <scheme val="major"/>
    </font>
    <font>
      <sz val="10"/>
      <color theme="1" tint="0.14999847407452621"/>
      <name val="Arial"/>
      <family val="2"/>
    </font>
    <font>
      <b/>
      <sz val="20"/>
      <color theme="1" tint="0.14999847407452621"/>
      <name val="Calibri Light"/>
      <family val="2"/>
      <scheme val="major"/>
    </font>
    <font>
      <b/>
      <sz val="16"/>
      <color theme="1" tint="0.14999847407452621"/>
      <name val="Calibri Light"/>
      <family val="2"/>
      <scheme val="major"/>
    </font>
    <font>
      <sz val="14"/>
      <color rgb="FF000000"/>
      <name val="Arial"/>
      <family val="2"/>
    </font>
    <font>
      <b/>
      <sz val="14"/>
      <color rgb="FF000000"/>
      <name val="Arial"/>
      <family val="2"/>
    </font>
    <font>
      <b/>
      <sz val="14"/>
      <color theme="0"/>
      <name val="Calibri"/>
      <family val="2"/>
      <scheme val="minor"/>
    </font>
    <font>
      <sz val="11"/>
      <color theme="0"/>
      <name val="Calibri"/>
      <family val="2"/>
      <scheme val="minor"/>
    </font>
  </fonts>
  <fills count="17">
    <fill>
      <patternFill patternType="none"/>
    </fill>
    <fill>
      <patternFill patternType="gray125"/>
    </fill>
    <fill>
      <patternFill patternType="solid">
        <fgColor theme="0"/>
        <bgColor indexed="64"/>
      </patternFill>
    </fill>
    <fill>
      <patternFill patternType="solid">
        <fgColor rgb="FFEAEEF3"/>
        <bgColor indexed="64"/>
      </patternFill>
    </fill>
    <fill>
      <patternFill patternType="solid">
        <fgColor theme="0" tint="-4.9989318521683403E-2"/>
        <bgColor indexed="64"/>
      </patternFill>
    </fill>
    <fill>
      <patternFill patternType="solid">
        <fgColor theme="3" tint="-0.249977111117893"/>
        <bgColor indexed="64"/>
      </patternFill>
    </fill>
    <fill>
      <patternFill patternType="solid">
        <fgColor theme="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6" tint="0.79998168889431442"/>
        <bgColor indexed="65"/>
      </patternFill>
    </fill>
    <fill>
      <patternFill patternType="solid">
        <fgColor theme="0"/>
        <bgColor rgb="FF000000"/>
      </patternFill>
    </fill>
    <fill>
      <patternFill patternType="solid">
        <fgColor rgb="FFF2F2F2"/>
      </patternFill>
    </fill>
    <fill>
      <patternFill patternType="solid">
        <fgColor rgb="FF8B0000"/>
        <bgColor indexed="64"/>
      </patternFill>
    </fill>
    <fill>
      <patternFill patternType="solid">
        <fgColor rgb="FFE600A7"/>
        <bgColor indexed="64"/>
      </patternFill>
    </fill>
    <fill>
      <patternFill patternType="solid">
        <fgColor rgb="FFFF0000"/>
        <bgColor indexed="64"/>
      </patternFill>
    </fill>
    <fill>
      <patternFill patternType="solid">
        <fgColor theme="0"/>
        <bgColor theme="0"/>
      </patternFill>
    </fill>
    <fill>
      <patternFill patternType="solid">
        <fgColor indexed="65"/>
        <bgColor theme="0"/>
      </patternFill>
    </fill>
  </fills>
  <borders count="4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rgb="FF3F3F3F"/>
      </left>
      <right style="thin">
        <color rgb="FF3F3F3F"/>
      </right>
      <top style="thin">
        <color rgb="FF3F3F3F"/>
      </top>
      <bottom style="thin">
        <color rgb="FF3F3F3F"/>
      </bottom>
      <diagonal/>
    </border>
    <border>
      <left style="thin">
        <color auto="1"/>
      </left>
      <right style="thin">
        <color auto="1"/>
      </right>
      <top style="thin">
        <color auto="1"/>
      </top>
      <bottom style="thin">
        <color auto="1"/>
      </bottom>
      <diagonal/>
    </border>
    <border>
      <left style="thin">
        <color theme="0" tint="-0.249977111117893"/>
      </left>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style="thin">
        <color theme="0" tint="-0.34998626667073579"/>
      </top>
      <bottom style="thin">
        <color theme="0" tint="-0.34998626667073579"/>
      </bottom>
      <diagonal/>
    </border>
    <border>
      <left style="medium">
        <color indexed="64"/>
      </left>
      <right style="medium">
        <color indexed="64"/>
      </right>
      <top style="thin">
        <color theme="0" tint="-0.34998626667073579"/>
      </top>
      <bottom style="medium">
        <color indexed="64"/>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top/>
      <bottom style="thin">
        <color auto="1"/>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style="thin">
        <color auto="1"/>
      </left>
      <right/>
      <top style="thin">
        <color auto="1"/>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indexed="64"/>
      </top>
      <bottom/>
      <diagonal/>
    </border>
    <border>
      <left/>
      <right style="thin">
        <color auto="1"/>
      </right>
      <top style="medium">
        <color indexed="64"/>
      </top>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style="thin">
        <color rgb="FF3F3F3F"/>
      </left>
      <right/>
      <top/>
      <bottom/>
      <diagonal/>
    </border>
    <border>
      <left style="thin">
        <color indexed="64"/>
      </left>
      <right/>
      <top style="thin">
        <color indexed="64"/>
      </top>
      <bottom style="thin">
        <color rgb="FF3F3F3F"/>
      </bottom>
      <diagonal/>
    </border>
    <border>
      <left style="thin">
        <color indexed="64"/>
      </left>
      <right/>
      <top style="thin">
        <color rgb="FF3F3F3F"/>
      </top>
      <bottom style="thin">
        <color indexed="64"/>
      </bottom>
      <diagonal/>
    </border>
    <border>
      <left style="thin">
        <color rgb="FF3F3F3F"/>
      </left>
      <right/>
      <top style="thin">
        <color rgb="FF3F3F3F"/>
      </top>
      <bottom style="thin">
        <color rgb="FF3F3F3F"/>
      </bottom>
      <diagonal/>
    </border>
  </borders>
  <cellStyleXfs count="10">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7" fillId="0" borderId="0"/>
    <xf numFmtId="0" fontId="2" fillId="9" borderId="0" applyNumberFormat="0" applyBorder="0" applyAlignment="0" applyProtection="0"/>
    <xf numFmtId="0" fontId="18" fillId="11" borderId="2" applyNumberFormat="0" applyAlignment="0" applyProtection="0"/>
    <xf numFmtId="0" fontId="21" fillId="0" borderId="0" applyNumberFormat="0" applyFill="0" applyBorder="0" applyAlignment="0" applyProtection="0"/>
    <xf numFmtId="0" fontId="7" fillId="0" borderId="0" applyNumberFormat="0" applyFont="0" applyFill="0" applyAlignment="0" applyProtection="0"/>
    <xf numFmtId="0" fontId="32" fillId="0" borderId="0"/>
    <xf numFmtId="165" fontId="32" fillId="0" borderId="0"/>
  </cellStyleXfs>
  <cellXfs count="193">
    <xf numFmtId="0" fontId="0" fillId="0" borderId="0" xfId="0"/>
    <xf numFmtId="0" fontId="3" fillId="0" borderId="0" xfId="0" applyFont="1"/>
    <xf numFmtId="0" fontId="7" fillId="0" borderId="0" xfId="3"/>
    <xf numFmtId="0" fontId="10" fillId="0" borderId="0" xfId="0" applyFont="1" applyAlignment="1">
      <alignment horizontal="left" vertical="center"/>
    </xf>
    <xf numFmtId="0" fontId="10" fillId="0" borderId="0" xfId="0" applyFont="1" applyAlignment="1">
      <alignment horizontal="center" vertical="center"/>
    </xf>
    <xf numFmtId="0" fontId="9" fillId="0" borderId="0" xfId="0" applyFont="1"/>
    <xf numFmtId="0" fontId="13" fillId="0" borderId="1" xfId="0" applyFont="1" applyBorder="1" applyAlignment="1">
      <alignment horizontal="center" vertical="center" wrapText="1"/>
    </xf>
    <xf numFmtId="0" fontId="12" fillId="6" borderId="1" xfId="0" applyFont="1" applyFill="1" applyBorder="1" applyAlignment="1">
      <alignment horizontal="center" vertical="center" wrapText="1"/>
    </xf>
    <xf numFmtId="0" fontId="15" fillId="0" borderId="0" xfId="0" applyFont="1"/>
    <xf numFmtId="0" fontId="16" fillId="0" borderId="0" xfId="0" applyFont="1"/>
    <xf numFmtId="0" fontId="17" fillId="0" borderId="0" xfId="0" applyFont="1"/>
    <xf numFmtId="2" fontId="10" fillId="0" borderId="0" xfId="0" applyNumberFormat="1" applyFont="1" applyAlignment="1" applyProtection="1">
      <alignment horizontal="left" vertical="center"/>
      <protection locked="0" hidden="1"/>
    </xf>
    <xf numFmtId="0" fontId="8" fillId="0" borderId="0" xfId="0" applyFont="1" applyAlignment="1">
      <alignment horizontal="left" vertical="center" wrapText="1" indent="1"/>
    </xf>
    <xf numFmtId="0" fontId="13" fillId="0" borderId="4" xfId="0" applyFont="1" applyBorder="1" applyAlignment="1">
      <alignment horizontal="center" vertical="center" wrapText="1"/>
    </xf>
    <xf numFmtId="0" fontId="19" fillId="0" borderId="0" xfId="0" applyFont="1"/>
    <xf numFmtId="0" fontId="22" fillId="2" borderId="0" xfId="0" applyFont="1" applyFill="1" applyAlignment="1">
      <alignment horizontal="left" vertical="top"/>
    </xf>
    <xf numFmtId="0" fontId="24" fillId="2" borderId="0" xfId="0" applyFont="1" applyFill="1" applyAlignment="1">
      <alignment horizontal="left" vertical="top"/>
    </xf>
    <xf numFmtId="0" fontId="22" fillId="2" borderId="0" xfId="0" applyFont="1" applyFill="1" applyAlignment="1">
      <alignment horizontal="left" vertical="center"/>
    </xf>
    <xf numFmtId="0" fontId="25" fillId="0" borderId="0" xfId="0" applyFont="1" applyAlignment="1">
      <alignment horizontal="left" vertical="center"/>
    </xf>
    <xf numFmtId="164" fontId="20" fillId="3" borderId="6" xfId="0" applyNumberFormat="1" applyFont="1" applyFill="1" applyBorder="1" applyAlignment="1">
      <alignment horizontal="left" vertical="center" indent="1"/>
    </xf>
    <xf numFmtId="164" fontId="20" fillId="13" borderId="7" xfId="0" applyNumberFormat="1" applyFont="1" applyFill="1" applyBorder="1" applyAlignment="1">
      <alignment horizontal="left" vertical="center" indent="1"/>
    </xf>
    <xf numFmtId="164" fontId="20" fillId="12" borderId="8" xfId="0" applyNumberFormat="1" applyFont="1" applyFill="1" applyBorder="1" applyAlignment="1">
      <alignment horizontal="left" vertical="center" indent="1"/>
    </xf>
    <xf numFmtId="0" fontId="12" fillId="5" borderId="11" xfId="0" applyFont="1" applyFill="1" applyBorder="1" applyAlignment="1">
      <alignment horizontal="center" vertical="center" wrapText="1"/>
    </xf>
    <xf numFmtId="0" fontId="12" fillId="5" borderId="5" xfId="0" applyFont="1" applyFill="1" applyBorder="1" applyAlignment="1">
      <alignment horizontal="center" vertical="center" wrapText="1"/>
    </xf>
    <xf numFmtId="0" fontId="13" fillId="0" borderId="10" xfId="0" applyFont="1" applyBorder="1" applyAlignment="1">
      <alignment horizontal="left" vertical="center" wrapText="1" indent="1"/>
    </xf>
    <xf numFmtId="0" fontId="13" fillId="3" borderId="3" xfId="0" applyFont="1" applyFill="1" applyBorder="1" applyAlignment="1">
      <alignment horizontal="left" vertical="center" wrapText="1" indent="1"/>
    </xf>
    <xf numFmtId="0" fontId="13" fillId="7" borderId="3" xfId="0" applyFont="1" applyFill="1" applyBorder="1" applyAlignment="1">
      <alignment horizontal="left" vertical="center" wrapText="1" indent="1"/>
    </xf>
    <xf numFmtId="0" fontId="13" fillId="8" borderId="3" xfId="0" applyFont="1" applyFill="1" applyBorder="1" applyAlignment="1">
      <alignment horizontal="left" vertical="center" wrapText="1" indent="1"/>
    </xf>
    <xf numFmtId="164" fontId="20" fillId="14" borderId="7" xfId="0" applyNumberFormat="1" applyFont="1" applyFill="1" applyBorder="1" applyAlignment="1">
      <alignment horizontal="left" vertical="center" indent="1"/>
    </xf>
    <xf numFmtId="0" fontId="12" fillId="6" borderId="4" xfId="0" applyFont="1" applyFill="1" applyBorder="1" applyAlignment="1">
      <alignment horizontal="center" vertical="center" wrapText="1"/>
    </xf>
    <xf numFmtId="0" fontId="26" fillId="0" borderId="0" xfId="0" applyFont="1"/>
    <xf numFmtId="0" fontId="23" fillId="2" borderId="0" xfId="6" applyNumberFormat="1" applyFont="1" applyFill="1" applyAlignment="1">
      <alignment horizontal="left"/>
    </xf>
    <xf numFmtId="0" fontId="23" fillId="15" borderId="0" xfId="6" applyFont="1" applyFill="1" applyBorder="1"/>
    <xf numFmtId="0" fontId="27" fillId="15" borderId="0" xfId="6" applyFont="1" applyFill="1" applyBorder="1"/>
    <xf numFmtId="0" fontId="27" fillId="0" borderId="0" xfId="6" applyFont="1" applyFill="1" applyBorder="1"/>
    <xf numFmtId="0" fontId="28" fillId="15" borderId="0" xfId="6" applyFont="1" applyFill="1" applyBorder="1"/>
    <xf numFmtId="0" fontId="28" fillId="0" borderId="0" xfId="6" applyFont="1" applyFill="1" applyBorder="1"/>
    <xf numFmtId="0" fontId="29" fillId="15" borderId="0" xfId="6" applyFont="1" applyFill="1" applyBorder="1"/>
    <xf numFmtId="0" fontId="29" fillId="0" borderId="0" xfId="6" applyFont="1" applyFill="1" applyBorder="1"/>
    <xf numFmtId="0" fontId="29" fillId="15" borderId="0" xfId="6" applyFont="1" applyFill="1" applyBorder="1" applyAlignment="1">
      <alignment horizontal="right"/>
    </xf>
    <xf numFmtId="0" fontId="29" fillId="15" borderId="0" xfId="6" applyFont="1" applyFill="1" applyBorder="1" applyAlignment="1">
      <alignment horizontal="left"/>
    </xf>
    <xf numFmtId="165" fontId="28" fillId="15" borderId="0" xfId="6" applyNumberFormat="1" applyFont="1" applyFill="1" applyBorder="1"/>
    <xf numFmtId="165" fontId="29" fillId="15" borderId="0" xfId="6" applyNumberFormat="1" applyFont="1" applyFill="1" applyBorder="1"/>
    <xf numFmtId="0" fontId="30" fillId="15" borderId="0" xfId="6" applyFont="1" applyFill="1" applyBorder="1" applyAlignment="1">
      <alignment horizontal="center"/>
    </xf>
    <xf numFmtId="0" fontId="31" fillId="15" borderId="0" xfId="6" applyFont="1" applyFill="1" applyBorder="1"/>
    <xf numFmtId="0" fontId="32" fillId="0" borderId="0" xfId="0" applyFont="1"/>
    <xf numFmtId="0" fontId="35" fillId="16" borderId="0" xfId="0" applyFont="1" applyFill="1" applyAlignment="1">
      <alignment horizontal="left" vertical="top"/>
    </xf>
    <xf numFmtId="0" fontId="33" fillId="16" borderId="0" xfId="0" applyFont="1" applyFill="1" applyAlignment="1">
      <alignment horizontal="left" vertical="top"/>
    </xf>
    <xf numFmtId="0" fontId="34" fillId="16" borderId="0" xfId="0" applyFont="1" applyFill="1" applyAlignment="1">
      <alignment horizontal="left" vertical="top"/>
    </xf>
    <xf numFmtId="0" fontId="26" fillId="16" borderId="0" xfId="0" applyFont="1" applyFill="1" applyAlignment="1">
      <alignment horizontal="left" vertical="top"/>
    </xf>
    <xf numFmtId="0" fontId="17" fillId="16" borderId="0" xfId="0" applyFont="1" applyFill="1" applyAlignment="1">
      <alignment horizontal="left" vertical="top"/>
    </xf>
    <xf numFmtId="0" fontId="34" fillId="16" borderId="0" xfId="0" applyFont="1" applyFill="1" applyAlignment="1">
      <alignment horizontal="left" vertical="top" wrapText="1"/>
    </xf>
    <xf numFmtId="0" fontId="26" fillId="16" borderId="14" xfId="0" applyFont="1" applyFill="1" applyBorder="1" applyAlignment="1">
      <alignment horizontal="left" vertical="top"/>
    </xf>
    <xf numFmtId="0" fontId="36" fillId="0" borderId="0" xfId="0" applyFont="1"/>
    <xf numFmtId="0" fontId="37" fillId="0" borderId="0" xfId="0" applyFont="1"/>
    <xf numFmtId="0" fontId="8" fillId="0" borderId="0" xfId="0" applyFont="1"/>
    <xf numFmtId="0" fontId="38" fillId="0" borderId="0" xfId="3" applyFont="1"/>
    <xf numFmtId="0" fontId="11" fillId="0" borderId="0" xfId="0" applyFont="1" applyAlignment="1">
      <alignment horizontal="left" vertical="center"/>
    </xf>
    <xf numFmtId="0" fontId="39" fillId="3" borderId="3" xfId="0" applyFont="1" applyFill="1" applyBorder="1" applyAlignment="1">
      <alignment horizontal="left" vertical="center" indent="1"/>
    </xf>
    <xf numFmtId="164" fontId="39" fillId="3" borderId="3" xfId="0" applyNumberFormat="1" applyFont="1" applyFill="1" applyBorder="1" applyAlignment="1">
      <alignment horizontal="left" vertical="center" indent="1"/>
    </xf>
    <xf numFmtId="0" fontId="23" fillId="2" borderId="0" xfId="6" applyNumberFormat="1" applyFont="1" applyFill="1"/>
    <xf numFmtId="0" fontId="23" fillId="2" borderId="0" xfId="6" applyNumberFormat="1" applyFont="1" applyFill="1" applyAlignment="1">
      <alignment horizontal="center"/>
    </xf>
    <xf numFmtId="0" fontId="23" fillId="2" borderId="0" xfId="6" applyNumberFormat="1" applyFont="1" applyFill="1" applyAlignment="1">
      <alignment horizontal="left" vertical="top"/>
    </xf>
    <xf numFmtId="0" fontId="23" fillId="2" borderId="0" xfId="6" applyNumberFormat="1" applyFont="1" applyFill="1" applyAlignment="1">
      <alignment vertical="top"/>
    </xf>
    <xf numFmtId="0" fontId="23" fillId="2" borderId="0" xfId="6" applyNumberFormat="1" applyFont="1" applyFill="1" applyAlignment="1">
      <alignment horizontal="center" vertical="top"/>
    </xf>
    <xf numFmtId="165" fontId="23" fillId="10" borderId="0" xfId="6" applyNumberFormat="1" applyFont="1" applyFill="1" applyAlignment="1">
      <alignment horizontal="center" vertical="center"/>
    </xf>
    <xf numFmtId="165" fontId="23" fillId="2" borderId="0" xfId="6" applyNumberFormat="1" applyFont="1" applyFill="1" applyAlignment="1">
      <alignment vertical="center"/>
    </xf>
    <xf numFmtId="165" fontId="23" fillId="2" borderId="0" xfId="6" applyNumberFormat="1" applyFont="1" applyFill="1"/>
    <xf numFmtId="0" fontId="23" fillId="0" borderId="0" xfId="6" applyNumberFormat="1" applyFont="1"/>
    <xf numFmtId="0" fontId="23" fillId="10" borderId="0" xfId="6" applyNumberFormat="1" applyFont="1" applyFill="1" applyAlignment="1">
      <alignment textRotation="90"/>
    </xf>
    <xf numFmtId="0" fontId="40" fillId="2" borderId="0" xfId="6" applyNumberFormat="1" applyFont="1" applyFill="1" applyAlignment="1">
      <alignment horizontal="left"/>
    </xf>
    <xf numFmtId="0" fontId="23" fillId="10" borderId="0" xfId="6" applyNumberFormat="1" applyFont="1" applyFill="1" applyAlignment="1">
      <alignment vertical="top"/>
    </xf>
    <xf numFmtId="0" fontId="23" fillId="10" borderId="0" xfId="6" applyNumberFormat="1" applyFont="1" applyFill="1" applyAlignment="1">
      <alignment vertical="center"/>
    </xf>
    <xf numFmtId="0" fontId="23" fillId="10" borderId="0" xfId="6" applyNumberFormat="1" applyFont="1" applyFill="1" applyAlignment="1">
      <alignment horizontal="left" vertical="center"/>
    </xf>
    <xf numFmtId="0" fontId="23" fillId="2" borderId="0" xfId="6" applyNumberFormat="1" applyFont="1" applyFill="1" applyAlignment="1">
      <alignment vertical="center"/>
    </xf>
    <xf numFmtId="0" fontId="23" fillId="2" borderId="0" xfId="6" applyNumberFormat="1" applyFont="1" applyFill="1" applyAlignment="1">
      <alignment horizontal="center" vertical="center"/>
    </xf>
    <xf numFmtId="0" fontId="23" fillId="2" borderId="0" xfId="6" applyNumberFormat="1" applyFont="1" applyFill="1" applyAlignment="1">
      <alignment horizontal="left" vertical="center"/>
    </xf>
    <xf numFmtId="0" fontId="41" fillId="2" borderId="0" xfId="0" applyFont="1" applyFill="1" applyAlignment="1">
      <alignment horizontal="left" vertical="center"/>
    </xf>
    <xf numFmtId="165" fontId="23" fillId="2" borderId="0" xfId="6" applyNumberFormat="1" applyFont="1" applyFill="1" applyAlignment="1">
      <alignment horizontal="center" vertical="center"/>
    </xf>
    <xf numFmtId="165" fontId="22" fillId="2" borderId="0" xfId="0" applyNumberFormat="1" applyFont="1" applyFill="1" applyAlignment="1">
      <alignment horizontal="left" vertical="center"/>
    </xf>
    <xf numFmtId="165" fontId="22" fillId="2" borderId="0" xfId="0" applyNumberFormat="1" applyFont="1" applyFill="1" applyAlignment="1">
      <alignment horizontal="left" vertical="top"/>
    </xf>
    <xf numFmtId="165" fontId="41" fillId="2" borderId="0" xfId="0" applyNumberFormat="1" applyFont="1" applyFill="1" applyAlignment="1">
      <alignment horizontal="left" vertical="center"/>
    </xf>
    <xf numFmtId="165" fontId="24" fillId="2" borderId="0" xfId="0" applyNumberFormat="1" applyFont="1" applyFill="1" applyAlignment="1">
      <alignment horizontal="left" vertical="top"/>
    </xf>
    <xf numFmtId="165" fontId="23" fillId="10" borderId="0" xfId="6" applyNumberFormat="1" applyFont="1" applyFill="1" applyAlignment="1">
      <alignment horizontal="left" vertical="top"/>
    </xf>
    <xf numFmtId="165" fontId="23" fillId="10" borderId="0" xfId="6" applyNumberFormat="1" applyFont="1" applyFill="1" applyAlignment="1">
      <alignment vertical="top"/>
    </xf>
    <xf numFmtId="165" fontId="23" fillId="0" borderId="0" xfId="6" applyNumberFormat="1" applyFont="1" applyFill="1" applyBorder="1" applyAlignment="1">
      <alignment horizontal="left" vertical="top"/>
    </xf>
    <xf numFmtId="165" fontId="23" fillId="2" borderId="0" xfId="6" applyNumberFormat="1" applyFont="1" applyFill="1" applyAlignment="1">
      <alignment vertical="top" wrapText="1"/>
    </xf>
    <xf numFmtId="0" fontId="42" fillId="2" borderId="0" xfId="0" applyFont="1" applyFill="1" applyAlignment="1">
      <alignment horizontal="left" vertical="center"/>
    </xf>
    <xf numFmtId="0" fontId="40" fillId="10" borderId="0" xfId="6" applyNumberFormat="1" applyFont="1" applyFill="1" applyAlignment="1">
      <alignment horizontal="center" vertical="center"/>
    </xf>
    <xf numFmtId="0" fontId="40" fillId="2" borderId="0" xfId="6" applyNumberFormat="1" applyFont="1" applyFill="1"/>
    <xf numFmtId="0" fontId="45" fillId="2" borderId="0" xfId="0" applyFont="1" applyFill="1" applyAlignment="1">
      <alignment horizontal="center"/>
    </xf>
    <xf numFmtId="0" fontId="46" fillId="0" borderId="0" xfId="0" applyFont="1" applyAlignment="1">
      <alignment horizontal="left" vertical="center"/>
    </xf>
    <xf numFmtId="0" fontId="14" fillId="4" borderId="16" xfId="0" applyFont="1" applyFill="1" applyBorder="1" applyAlignment="1">
      <alignment vertical="center" wrapText="1"/>
    </xf>
    <xf numFmtId="0" fontId="10" fillId="4" borderId="17" xfId="0" applyFont="1" applyFill="1" applyBorder="1" applyAlignment="1">
      <alignment horizontal="center" vertical="center" wrapText="1"/>
    </xf>
    <xf numFmtId="0" fontId="10" fillId="4" borderId="18" xfId="0" applyFont="1" applyFill="1" applyBorder="1" applyAlignment="1">
      <alignment horizontal="left" vertical="center" wrapText="1" indent="1"/>
    </xf>
    <xf numFmtId="0" fontId="10" fillId="4" borderId="19" xfId="0" applyFont="1" applyFill="1" applyBorder="1" applyAlignment="1">
      <alignment horizontal="left" vertical="center" wrapText="1" indent="1"/>
    </xf>
    <xf numFmtId="0" fontId="12" fillId="6" borderId="20" xfId="0" applyFont="1" applyFill="1" applyBorder="1" applyAlignment="1">
      <alignment horizontal="left" vertical="center" wrapText="1" indent="1"/>
    </xf>
    <xf numFmtId="0" fontId="8" fillId="0" borderId="20" xfId="0" applyFont="1" applyBorder="1" applyAlignment="1">
      <alignment horizontal="left" vertical="center" wrapText="1" indent="1"/>
    </xf>
    <xf numFmtId="0" fontId="8" fillId="0" borderId="21" xfId="0" applyFont="1" applyBorder="1" applyAlignment="1">
      <alignment horizontal="left" vertical="center" wrapText="1" indent="1"/>
    </xf>
    <xf numFmtId="0" fontId="13" fillId="0" borderId="22" xfId="0" applyFont="1" applyBorder="1" applyAlignment="1">
      <alignment horizontal="center" vertical="center" wrapText="1"/>
    </xf>
    <xf numFmtId="0" fontId="13" fillId="0" borderId="23" xfId="0" applyFont="1" applyBorder="1" applyAlignment="1">
      <alignment horizontal="center" vertical="center" wrapText="1"/>
    </xf>
    <xf numFmtId="0" fontId="27" fillId="2" borderId="0" xfId="6" applyNumberFormat="1" applyFont="1" applyFill="1" applyAlignment="1">
      <alignment horizontal="center" vertical="top"/>
    </xf>
    <xf numFmtId="0" fontId="27" fillId="10" borderId="0" xfId="6" applyNumberFormat="1" applyFont="1" applyFill="1" applyAlignment="1">
      <alignment horizontal="center" vertical="center"/>
    </xf>
    <xf numFmtId="0" fontId="27" fillId="2" borderId="0" xfId="6" applyNumberFormat="1" applyFont="1" applyFill="1" applyAlignment="1">
      <alignment horizontal="center" vertical="center"/>
    </xf>
    <xf numFmtId="0" fontId="27" fillId="9" borderId="2" xfId="6" applyNumberFormat="1" applyFont="1" applyFill="1" applyBorder="1" applyAlignment="1">
      <alignment horizontal="center" vertical="top"/>
    </xf>
    <xf numFmtId="165" fontId="27" fillId="2" borderId="0" xfId="6" applyNumberFormat="1" applyFont="1" applyFill="1" applyAlignment="1">
      <alignment horizontal="center" vertical="top" wrapText="1"/>
    </xf>
    <xf numFmtId="165" fontId="27" fillId="10" borderId="0" xfId="6" applyNumberFormat="1" applyFont="1" applyFill="1" applyAlignment="1">
      <alignment horizontal="center" vertical="top"/>
    </xf>
    <xf numFmtId="0" fontId="27" fillId="10" borderId="0" xfId="6" applyNumberFormat="1" applyFont="1" applyFill="1" applyAlignment="1">
      <alignment horizontal="center" vertical="top"/>
    </xf>
    <xf numFmtId="0" fontId="27" fillId="9" borderId="3" xfId="6" applyNumberFormat="1" applyFont="1" applyFill="1" applyBorder="1" applyAlignment="1">
      <alignment horizontal="center" vertical="top"/>
    </xf>
    <xf numFmtId="0" fontId="27" fillId="9" borderId="3" xfId="6" applyNumberFormat="1" applyFont="1" applyFill="1" applyBorder="1" applyAlignment="1">
      <alignment horizontal="center" vertical="top" wrapText="1"/>
    </xf>
    <xf numFmtId="0" fontId="27" fillId="2" borderId="0" xfId="6" applyNumberFormat="1" applyFont="1" applyFill="1" applyAlignment="1">
      <alignment horizontal="left" vertical="top"/>
    </xf>
    <xf numFmtId="0" fontId="27" fillId="2" borderId="0" xfId="6" applyNumberFormat="1" applyFont="1" applyFill="1" applyAlignment="1">
      <alignment horizontal="center"/>
    </xf>
    <xf numFmtId="0" fontId="49" fillId="0" borderId="0" xfId="0" applyFont="1"/>
    <xf numFmtId="0" fontId="44" fillId="0" borderId="0" xfId="3" applyFont="1"/>
    <xf numFmtId="0" fontId="50" fillId="0" borderId="0" xfId="0" applyFont="1" applyAlignment="1">
      <alignment wrapText="1"/>
    </xf>
    <xf numFmtId="0" fontId="51" fillId="0" borderId="0" xfId="3" applyFont="1"/>
    <xf numFmtId="0" fontId="51" fillId="0" borderId="0" xfId="0" applyFont="1" applyAlignment="1">
      <alignment wrapText="1"/>
    </xf>
    <xf numFmtId="0" fontId="1" fillId="0" borderId="0" xfId="3" applyFont="1"/>
    <xf numFmtId="0" fontId="48" fillId="0" borderId="0" xfId="3" applyFont="1" applyAlignment="1">
      <alignment wrapText="1"/>
    </xf>
    <xf numFmtId="0" fontId="52" fillId="0" borderId="0" xfId="0" applyFont="1"/>
    <xf numFmtId="0" fontId="50" fillId="0" borderId="0" xfId="0" applyFont="1"/>
    <xf numFmtId="0" fontId="55" fillId="0" borderId="0" xfId="3" applyFont="1"/>
    <xf numFmtId="0" fontId="54" fillId="0" borderId="0" xfId="3" applyFont="1"/>
    <xf numFmtId="0" fontId="49" fillId="0" borderId="0" xfId="0" applyFont="1" applyAlignment="1">
      <alignment wrapText="1"/>
    </xf>
    <xf numFmtId="0" fontId="44" fillId="0" borderId="0" xfId="0" applyFont="1" applyAlignment="1">
      <alignment wrapText="1"/>
    </xf>
    <xf numFmtId="0" fontId="7" fillId="0" borderId="0" xfId="3" applyAlignment="1">
      <alignment wrapText="1"/>
    </xf>
    <xf numFmtId="0" fontId="56" fillId="0" borderId="0" xfId="0" applyFont="1"/>
    <xf numFmtId="0" fontId="57" fillId="0" borderId="0" xfId="0" applyFont="1"/>
    <xf numFmtId="0" fontId="58" fillId="0" borderId="0" xfId="0" applyFont="1" applyAlignment="1">
      <alignment wrapText="1"/>
    </xf>
    <xf numFmtId="0" fontId="59" fillId="0" borderId="0" xfId="0" applyFont="1"/>
    <xf numFmtId="0" fontId="60" fillId="0" borderId="0" xfId="0" applyFont="1"/>
    <xf numFmtId="0" fontId="61" fillId="0" borderId="0" xfId="0" applyFont="1"/>
    <xf numFmtId="165" fontId="23" fillId="10" borderId="0" xfId="6" applyNumberFormat="1" applyFont="1" applyFill="1" applyAlignment="1">
      <alignment horizontal="left" vertical="center"/>
    </xf>
    <xf numFmtId="165" fontId="7" fillId="2" borderId="0" xfId="3" applyNumberFormat="1" applyFill="1"/>
    <xf numFmtId="0" fontId="12" fillId="6" borderId="24" xfId="0" applyFont="1" applyFill="1" applyBorder="1" applyAlignment="1">
      <alignment horizontal="center" vertical="center" wrapText="1"/>
    </xf>
    <xf numFmtId="0" fontId="12" fillId="6" borderId="25" xfId="0" applyFont="1" applyFill="1" applyBorder="1" applyAlignment="1">
      <alignment horizontal="center" vertical="center" wrapText="1"/>
    </xf>
    <xf numFmtId="0" fontId="7" fillId="0" borderId="0" xfId="3" applyAlignment="1">
      <alignment horizontal="center"/>
    </xf>
    <xf numFmtId="0" fontId="33" fillId="16" borderId="0" xfId="0" applyFont="1" applyFill="1" applyAlignment="1">
      <alignment vertical="top"/>
    </xf>
    <xf numFmtId="0" fontId="32" fillId="0" borderId="0" xfId="8"/>
    <xf numFmtId="164" fontId="34" fillId="3" borderId="6" xfId="8" applyNumberFormat="1" applyFont="1" applyFill="1" applyBorder="1" applyAlignment="1">
      <alignment horizontal="left" vertical="center" indent="1"/>
    </xf>
    <xf numFmtId="164" fontId="34" fillId="13" borderId="7" xfId="8" applyNumberFormat="1" applyFont="1" applyFill="1" applyBorder="1" applyAlignment="1">
      <alignment horizontal="left" vertical="center" indent="1"/>
    </xf>
    <xf numFmtId="164" fontId="34" fillId="14" borderId="7" xfId="8" applyNumberFormat="1" applyFont="1" applyFill="1" applyBorder="1" applyAlignment="1">
      <alignment horizontal="left" vertical="center" indent="1"/>
    </xf>
    <xf numFmtId="164" fontId="34" fillId="12" borderId="8" xfId="8" applyNumberFormat="1" applyFont="1" applyFill="1" applyBorder="1" applyAlignment="1">
      <alignment horizontal="left" vertical="center" indent="1"/>
    </xf>
    <xf numFmtId="164" fontId="26" fillId="3" borderId="6" xfId="8" applyNumberFormat="1" applyFont="1" applyFill="1" applyBorder="1" applyAlignment="1">
      <alignment horizontal="left" vertical="center" indent="1"/>
    </xf>
    <xf numFmtId="164" fontId="26" fillId="13" borderId="7" xfId="8" applyNumberFormat="1" applyFont="1" applyFill="1" applyBorder="1" applyAlignment="1">
      <alignment horizontal="left" vertical="center" indent="1"/>
    </xf>
    <xf numFmtId="164" fontId="26" fillId="14" borderId="7" xfId="8" applyNumberFormat="1" applyFont="1" applyFill="1" applyBorder="1" applyAlignment="1">
      <alignment horizontal="left" vertical="center" indent="1"/>
    </xf>
    <xf numFmtId="164" fontId="26" fillId="12" borderId="8" xfId="8" applyNumberFormat="1" applyFont="1" applyFill="1" applyBorder="1" applyAlignment="1">
      <alignment horizontal="left" vertical="center" indent="1"/>
    </xf>
    <xf numFmtId="0" fontId="32" fillId="16" borderId="0" xfId="8" applyFill="1"/>
    <xf numFmtId="0" fontId="32" fillId="16" borderId="17" xfId="8" applyFill="1" applyBorder="1"/>
    <xf numFmtId="0" fontId="32" fillId="16" borderId="19" xfId="8" applyFill="1" applyBorder="1"/>
    <xf numFmtId="0" fontId="32" fillId="16" borderId="26" xfId="8" applyFill="1" applyBorder="1"/>
    <xf numFmtId="0" fontId="32" fillId="16" borderId="27" xfId="8" applyFill="1" applyBorder="1"/>
    <xf numFmtId="0" fontId="32" fillId="16" borderId="28" xfId="8" applyFill="1" applyBorder="1"/>
    <xf numFmtId="0" fontId="32" fillId="16" borderId="29" xfId="8" applyFill="1" applyBorder="1"/>
    <xf numFmtId="0" fontId="32" fillId="16" borderId="30" xfId="8" applyFill="1" applyBorder="1"/>
    <xf numFmtId="0" fontId="62" fillId="0" borderId="16" xfId="8" applyFont="1" applyBorder="1"/>
    <xf numFmtId="0" fontId="8" fillId="0" borderId="3" xfId="0" applyFont="1" applyBorder="1" applyAlignment="1">
      <alignment horizontal="center" vertical="center" wrapText="1"/>
    </xf>
    <xf numFmtId="0" fontId="12" fillId="5" borderId="0" xfId="0" applyFont="1" applyFill="1" applyAlignment="1">
      <alignment horizontal="center" vertical="center" wrapText="1"/>
    </xf>
    <xf numFmtId="0" fontId="12" fillId="5" borderId="11" xfId="0" applyFont="1" applyFill="1" applyBorder="1" applyAlignment="1">
      <alignment horizontal="center" vertical="center" wrapText="1"/>
    </xf>
    <xf numFmtId="0" fontId="12" fillId="5" borderId="12" xfId="0" applyFont="1" applyFill="1" applyBorder="1" applyAlignment="1">
      <alignment horizontal="center" vertical="center" wrapText="1"/>
    </xf>
    <xf numFmtId="0" fontId="8" fillId="0" borderId="13" xfId="0" applyFont="1" applyBorder="1" applyAlignment="1">
      <alignment horizontal="center" vertical="center" wrapText="1"/>
    </xf>
    <xf numFmtId="0" fontId="8" fillId="0" borderId="9" xfId="0" applyFont="1" applyBorder="1" applyAlignment="1">
      <alignment horizontal="center" vertical="center" wrapText="1"/>
    </xf>
    <xf numFmtId="0" fontId="8" fillId="0" borderId="15" xfId="0" applyFont="1" applyBorder="1" applyAlignment="1">
      <alignment horizontal="center" vertical="center" wrapText="1"/>
    </xf>
    <xf numFmtId="0" fontId="2" fillId="9" borderId="3" xfId="4" applyBorder="1" applyAlignment="1">
      <alignment horizontal="center"/>
    </xf>
    <xf numFmtId="0" fontId="23" fillId="2" borderId="0" xfId="6" applyNumberFormat="1" applyFont="1" applyFill="1" applyAlignment="1">
      <alignment horizontal="center"/>
    </xf>
    <xf numFmtId="0" fontId="23" fillId="2" borderId="0" xfId="6" applyNumberFormat="1" applyFont="1" applyFill="1"/>
    <xf numFmtId="0" fontId="23" fillId="2" borderId="0" xfId="6" applyNumberFormat="1" applyFont="1" applyFill="1" applyAlignment="1">
      <alignment horizontal="left"/>
    </xf>
    <xf numFmtId="0" fontId="23" fillId="2" borderId="0" xfId="6" applyNumberFormat="1" applyFont="1" applyFill="1" applyAlignment="1">
      <alignment vertical="center"/>
    </xf>
    <xf numFmtId="0" fontId="23" fillId="10" borderId="0" xfId="6" applyNumberFormat="1" applyFont="1" applyFill="1" applyAlignment="1">
      <alignment horizontal="left" vertical="top"/>
    </xf>
    <xf numFmtId="0" fontId="23" fillId="10" borderId="0" xfId="6" applyNumberFormat="1" applyFont="1" applyFill="1" applyAlignment="1">
      <alignment horizontal="left" vertical="top" wrapText="1"/>
    </xf>
    <xf numFmtId="0" fontId="17" fillId="16" borderId="0" xfId="0" applyFont="1" applyFill="1" applyAlignment="1">
      <alignment horizontal="left" vertical="top"/>
    </xf>
    <xf numFmtId="0" fontId="33" fillId="16" borderId="0" xfId="0" applyFont="1" applyFill="1" applyAlignment="1">
      <alignment horizontal="left" vertical="top"/>
    </xf>
    <xf numFmtId="165" fontId="7" fillId="15" borderId="0" xfId="3" applyNumberFormat="1" applyFill="1" applyBorder="1"/>
    <xf numFmtId="0" fontId="63" fillId="0" borderId="0" xfId="8" applyFont="1"/>
    <xf numFmtId="0" fontId="8" fillId="0" borderId="31" xfId="0" applyFont="1" applyBorder="1" applyAlignment="1">
      <alignment horizontal="center" vertical="center" wrapText="1"/>
    </xf>
    <xf numFmtId="0" fontId="8" fillId="0" borderId="32" xfId="0" applyFont="1" applyBorder="1" applyAlignment="1">
      <alignment horizontal="center" vertical="center" wrapText="1"/>
    </xf>
    <xf numFmtId="0" fontId="8" fillId="0" borderId="33" xfId="0" applyFont="1" applyBorder="1" applyAlignment="1">
      <alignment horizontal="center" vertical="center" wrapText="1"/>
    </xf>
    <xf numFmtId="0" fontId="8" fillId="0" borderId="34" xfId="0" applyFont="1" applyBorder="1" applyAlignment="1">
      <alignment horizontal="center" vertical="center" wrapText="1"/>
    </xf>
    <xf numFmtId="0" fontId="8" fillId="0" borderId="35" xfId="0" applyFont="1" applyBorder="1" applyAlignment="1">
      <alignment horizontal="center" vertical="center" wrapText="1"/>
    </xf>
    <xf numFmtId="0" fontId="18" fillId="11" borderId="9" xfId="5" applyBorder="1"/>
    <xf numFmtId="0" fontId="18" fillId="11" borderId="36" xfId="5" applyBorder="1"/>
    <xf numFmtId="0" fontId="18" fillId="11" borderId="37" xfId="5" applyBorder="1"/>
    <xf numFmtId="0" fontId="18" fillId="11" borderId="38" xfId="5" applyBorder="1"/>
    <xf numFmtId="0" fontId="18" fillId="11" borderId="39" xfId="5" applyBorder="1"/>
    <xf numFmtId="3" fontId="18" fillId="11" borderId="39" xfId="5" applyNumberFormat="1" applyBorder="1"/>
    <xf numFmtId="0" fontId="18" fillId="11" borderId="39" xfId="5" applyNumberFormat="1" applyBorder="1" applyAlignment="1">
      <alignment horizontal="center"/>
    </xf>
    <xf numFmtId="165" fontId="64" fillId="2" borderId="0" xfId="6" applyNumberFormat="1" applyFont="1" applyFill="1" applyAlignment="1">
      <alignment vertical="center"/>
    </xf>
    <xf numFmtId="165" fontId="64" fillId="2" borderId="0" xfId="6" applyNumberFormat="1" applyFont="1" applyFill="1"/>
    <xf numFmtId="165" fontId="64" fillId="10" borderId="0" xfId="6" applyNumberFormat="1" applyFont="1" applyFill="1" applyAlignment="1">
      <alignment horizontal="center" vertical="center"/>
    </xf>
    <xf numFmtId="165" fontId="64" fillId="2" borderId="0" xfId="6" applyNumberFormat="1" applyFont="1" applyFill="1" applyAlignment="1">
      <alignment vertical="center"/>
    </xf>
    <xf numFmtId="165" fontId="64" fillId="2" borderId="0" xfId="6" applyNumberFormat="1" applyFont="1" applyFill="1" applyAlignment="1">
      <alignment horizontal="center" vertical="center"/>
    </xf>
    <xf numFmtId="165" fontId="65" fillId="0" borderId="0" xfId="3" applyNumberFormat="1" applyFont="1"/>
    <xf numFmtId="165" fontId="64" fillId="10" borderId="0" xfId="6" applyNumberFormat="1" applyFont="1" applyFill="1" applyAlignment="1">
      <alignment vertical="center"/>
    </xf>
  </cellXfs>
  <cellStyles count="10">
    <cellStyle name="20% - Accent3" xfId="4" builtinId="38"/>
    <cellStyle name="Followed Hyperlink" xfId="2" builtinId="9" hidden="1"/>
    <cellStyle name="Heading 4" xfId="6" builtinId="19"/>
    <cellStyle name="Hyperlink" xfId="1" builtinId="8" hidden="1"/>
    <cellStyle name="Normal" xfId="0" builtinId="0"/>
    <cellStyle name="Normal 2" xfId="3" xr:uid="{00000000-0005-0000-0000-000003000000}"/>
    <cellStyle name="Normal 3" xfId="8" xr:uid="{5ACA29D0-37CE-F34B-9E34-8E9FDE99BCBC}"/>
    <cellStyle name="Output" xfId="5" builtinId="21"/>
    <cellStyle name="Style 1" xfId="7" xr:uid="{02F85FEC-FA7F-0C43-B35F-8A009CF0857B}"/>
    <cellStyle name="Style 2" xfId="9" xr:uid="{67AB2502-6FF2-4E42-9091-ED153AD8E348}"/>
  </cellStyles>
  <dxfs count="30">
    <dxf>
      <font>
        <u val="none"/>
        <color theme="0"/>
      </font>
      <border>
        <left/>
        <right/>
        <top/>
        <bottom/>
        <vertical/>
        <horizontal/>
      </border>
    </dxf>
    <dxf>
      <font>
        <color theme="0"/>
      </font>
      <border>
        <left/>
        <right/>
        <top/>
        <bottom/>
        <vertical/>
        <horizontal/>
      </border>
    </dxf>
    <dxf>
      <font>
        <color theme="0"/>
      </font>
      <border>
        <left/>
        <right/>
        <top/>
        <bottom/>
        <vertical/>
        <horizontal/>
      </border>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numFmt numFmtId="165" formatCode=";;;"/>
      <fill>
        <patternFill>
          <fgColor theme="0"/>
        </patternFill>
      </fill>
    </dxf>
    <dxf>
      <font>
        <color theme="1"/>
      </font>
      <fill>
        <patternFill>
          <fgColor auto="1"/>
          <bgColor rgb="FFEAEEF3"/>
        </patternFill>
      </fill>
    </dxf>
    <dxf>
      <font>
        <color theme="1"/>
      </font>
      <fill>
        <patternFill>
          <bgColor theme="3" tint="0.79998168889431442"/>
        </patternFill>
      </fill>
    </dxf>
    <dxf>
      <font>
        <color theme="1"/>
      </font>
      <fill>
        <patternFill>
          <bgColor theme="3" tint="0.59996337778862885"/>
        </patternFill>
      </fill>
    </dxf>
    <dxf>
      <font>
        <color theme="1"/>
      </font>
      <fill>
        <patternFill>
          <fgColor auto="1"/>
          <bgColor rgb="FFEAEEF3"/>
        </patternFill>
      </fill>
    </dxf>
    <dxf>
      <font>
        <color theme="1"/>
      </font>
      <fill>
        <patternFill>
          <bgColor theme="3" tint="0.79998168889431442"/>
        </patternFill>
      </fill>
    </dxf>
    <dxf>
      <font>
        <color theme="1"/>
      </font>
      <fill>
        <patternFill>
          <bgColor theme="3" tint="0.59996337778862885"/>
        </patternFill>
      </fill>
    </dxf>
    <dxf>
      <font>
        <color theme="1"/>
      </font>
      <fill>
        <patternFill>
          <fgColor auto="1"/>
          <bgColor rgb="FFEAEEF3"/>
        </patternFill>
      </fill>
    </dxf>
    <dxf>
      <font>
        <color theme="1"/>
      </font>
      <fill>
        <patternFill>
          <bgColor theme="3" tint="0.79998168889431442"/>
        </patternFill>
      </fill>
    </dxf>
    <dxf>
      <font>
        <color theme="1"/>
      </font>
      <fill>
        <patternFill>
          <bgColor theme="3" tint="0.59996337778862885"/>
        </patternFill>
      </fill>
    </dxf>
    <dxf>
      <font>
        <color theme="1"/>
      </font>
      <fill>
        <patternFill>
          <fgColor auto="1"/>
          <bgColor rgb="FFEAEEF3"/>
        </patternFill>
      </fill>
    </dxf>
    <dxf>
      <font>
        <color theme="1"/>
      </font>
      <fill>
        <patternFill>
          <bgColor theme="3" tint="0.79998168889431442"/>
        </patternFill>
      </fill>
    </dxf>
    <dxf>
      <font>
        <color theme="1"/>
      </font>
      <fill>
        <patternFill>
          <bgColor theme="3" tint="0.59996337778862885"/>
        </patternFill>
      </fill>
    </dxf>
  </dxfs>
  <tableStyles count="0" defaultTableStyle="TableStyleMedium9" defaultPivotStyle="PivotStyleMedium7"/>
  <colors>
    <mruColors>
      <color rgb="FFD91E19"/>
      <color rgb="FFEF2319"/>
      <color rgb="FF253A5C"/>
      <color rgb="FF254274"/>
      <color rgb="FF01BB9E"/>
      <color rgb="FF00B299"/>
      <color rgb="FFE600A7"/>
      <color rgb="FFAA0000"/>
      <color rgb="FFE60000"/>
      <color rgb="FF8B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0"/>
    <c:plotArea>
      <c:layout>
        <c:manualLayout>
          <c:layoutTarget val="inner"/>
          <c:xMode val="edge"/>
          <c:yMode val="edge"/>
          <c:x val="0.12451860817222511"/>
          <c:y val="8.7565674255691769E-3"/>
          <c:w val="0.16503932405877669"/>
          <c:h val="0.98873698581022385"/>
        </c:manualLayout>
      </c:layout>
      <c:lineChart>
        <c:grouping val="stacked"/>
        <c:varyColors val="0"/>
        <c:ser>
          <c:idx val="0"/>
          <c:order val="0"/>
          <c:spPr>
            <a:ln w="28575" cap="rnd">
              <a:solidFill>
                <a:schemeClr val="accent5"/>
              </a:solidFill>
              <a:round/>
            </a:ln>
            <a:effectLst/>
          </c:spPr>
          <c:marker>
            <c:symbol val="circle"/>
            <c:size val="5"/>
            <c:spPr>
              <a:solidFill>
                <a:schemeClr val="accent5"/>
              </a:solidFill>
              <a:ln w="9525">
                <a:solidFill>
                  <a:schemeClr val="accent5"/>
                </a:solidFill>
              </a:ln>
              <a:effectLst/>
            </c:spPr>
          </c:marker>
          <c:dPt>
            <c:idx val="10"/>
            <c:marker>
              <c:symbol val="circle"/>
              <c:size val="5"/>
              <c:spPr>
                <a:solidFill>
                  <a:schemeClr val="accent5"/>
                </a:solidFill>
                <a:ln w="9525">
                  <a:solidFill>
                    <a:schemeClr val="accent5"/>
                  </a:solidFill>
                </a:ln>
                <a:effectLst/>
              </c:spPr>
            </c:marker>
            <c:bubble3D val="0"/>
            <c:spPr>
              <a:ln w="28575" cap="rnd">
                <a:noFill/>
                <a:round/>
              </a:ln>
              <a:effectLst/>
            </c:spPr>
            <c:extLst>
              <c:ext xmlns:c16="http://schemas.microsoft.com/office/drawing/2014/chart" uri="{C3380CC4-5D6E-409C-BE32-E72D297353CC}">
                <c16:uniqueId val="{00000001-76F3-574A-8D18-D0C9E6B2C19E}"/>
              </c:ext>
            </c:extLst>
          </c:dPt>
          <c:val>
            <c:numRef>
              <c:f>('BIM Guidelines'!$X$5,'BIM Guidelines'!$X$20,'BIM Guidelines'!$X$31,'BIM Guidelines'!$X$33,'BIM Guidelines'!$X$35,'BIM Guidelines'!$X$40,'BIM Guidelines'!$X$42,'BIM Guidelines'!$X$44,'BIM Guidelines'!$X$46,'BIM Guidelines'!$X$48,'BIM Guidelines'!$X$50)</c:f>
              <c:numCache>
                <c:formatCode>;;;</c:formatCode>
                <c:ptCount val="11"/>
                <c:pt idx="0">
                  <c:v>#N/A</c:v>
                </c:pt>
                <c:pt idx="1">
                  <c:v>#N/A</c:v>
                </c:pt>
                <c:pt idx="2">
                  <c:v>#N/A</c:v>
                </c:pt>
                <c:pt idx="3">
                  <c:v>#N/A</c:v>
                </c:pt>
                <c:pt idx="4">
                  <c:v>#N/A</c:v>
                </c:pt>
                <c:pt idx="5">
                  <c:v>#N/A</c:v>
                </c:pt>
                <c:pt idx="6">
                  <c:v>#N/A</c:v>
                </c:pt>
                <c:pt idx="7">
                  <c:v>#N/A</c:v>
                </c:pt>
                <c:pt idx="8">
                  <c:v>#N/A</c:v>
                </c:pt>
                <c:pt idx="9">
                  <c:v>#N/A</c:v>
                </c:pt>
                <c:pt idx="10">
                  <c:v>250</c:v>
                </c:pt>
              </c:numCache>
            </c:numRef>
          </c:val>
          <c:smooth val="0"/>
          <c:extLst>
            <c:ext xmlns:c16="http://schemas.microsoft.com/office/drawing/2014/chart" uri="{C3380CC4-5D6E-409C-BE32-E72D297353CC}">
              <c16:uniqueId val="{00000002-76F3-574A-8D18-D0C9E6B2C19E}"/>
            </c:ext>
          </c:extLst>
        </c:ser>
        <c:dLbls>
          <c:showLegendKey val="0"/>
          <c:showVal val="0"/>
          <c:showCatName val="0"/>
          <c:showSerName val="0"/>
          <c:showPercent val="0"/>
          <c:showBubbleSize val="0"/>
        </c:dLbls>
        <c:marker val="1"/>
        <c:smooth val="0"/>
        <c:axId val="1077835248"/>
        <c:axId val="1056279536"/>
      </c:lineChart>
      <c:catAx>
        <c:axId val="1077835248"/>
        <c:scaling>
          <c:orientation val="minMax"/>
        </c:scaling>
        <c:delete val="1"/>
        <c:axPos val="b"/>
        <c:majorTickMark val="none"/>
        <c:minorTickMark val="none"/>
        <c:tickLblPos val="nextTo"/>
        <c:crossAx val="1056279536"/>
        <c:crosses val="autoZero"/>
        <c:auto val="1"/>
        <c:lblAlgn val="ctr"/>
        <c:lblOffset val="100"/>
        <c:noMultiLvlLbl val="0"/>
      </c:catAx>
      <c:valAx>
        <c:axId val="1056279536"/>
        <c:scaling>
          <c:orientation val="minMax"/>
        </c:scaling>
        <c:delete val="1"/>
        <c:axPos val="l"/>
        <c:numFmt formatCode=";;;" sourceLinked="1"/>
        <c:majorTickMark val="none"/>
        <c:minorTickMark val="none"/>
        <c:tickLblPos val="nextTo"/>
        <c:crossAx val="107783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E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b="1"/>
              <a:t>Project Enviroment Maturity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EG"/>
        </a:p>
      </c:txPr>
    </c:title>
    <c:autoTitleDeleted val="0"/>
    <c:plotArea>
      <c:layout/>
      <c:radarChart>
        <c:radarStyle val="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(Maturity!$C$6,Maturity!$C$31,Maturity!$C$44,Maturity!$C$58,Maturity!$C$75,Maturity!$C$88,Maturity!$C$97,Maturity!$C$111,Maturity!$C$124,Maturity!$C$153,Maturity!$C$187,Maturity!$C$204,Maturity!$C$217,Maturity!$C$111)</c:f>
              <c:strCache>
                <c:ptCount val="14"/>
                <c:pt idx="0">
                  <c:v>Organizational Policies</c:v>
                </c:pt>
                <c:pt idx="1">
                  <c:v>Contractual Policies</c:v>
                </c:pt>
                <c:pt idx="2">
                  <c:v>Preparatory</c:v>
                </c:pt>
                <c:pt idx="3">
                  <c:v>Roles and Responsibilities</c:v>
                </c:pt>
                <c:pt idx="4">
                  <c:v>Qualification and Skills</c:v>
                </c:pt>
                <c:pt idx="5">
                  <c:v>Communication and exchange</c:v>
                </c:pt>
                <c:pt idx="6">
                  <c:v>Working environment</c:v>
                </c:pt>
                <c:pt idx="7">
                  <c:v>Information Structure</c:v>
                </c:pt>
                <c:pt idx="8">
                  <c:v>Information Flow</c:v>
                </c:pt>
                <c:pt idx="10">
                  <c:v>Software</c:v>
                </c:pt>
                <c:pt idx="11">
                  <c:v>Hardware </c:v>
                </c:pt>
                <c:pt idx="12">
                  <c:v>IT Security</c:v>
                </c:pt>
                <c:pt idx="13">
                  <c:v>Information Structure</c:v>
                </c:pt>
              </c:strCache>
            </c:strRef>
          </c:cat>
          <c:val>
            <c:numRef>
              <c:f>(Maturity!$M$6,Maturity!$M$31,Maturity!$M$44,Maturity!$M$58,Maturity!$M$75,Maturity!$M$88,Maturity!$M$97,Maturity!$M$111,Maturity!$M$124,Maturity!$M$153,Maturity!$M$187,Maturity!$M$204,Maturity!$M$217)</c:f>
              <c:numCache>
                <c:formatCode>;;;</c:formatCode>
                <c:ptCount val="13"/>
                <c:pt idx="0">
                  <c:v>#N/A</c:v>
                </c:pt>
                <c:pt idx="1">
                  <c:v>#N/A</c:v>
                </c:pt>
                <c:pt idx="2">
                  <c:v>#N/A</c:v>
                </c:pt>
                <c:pt idx="3">
                  <c:v>#N/A</c:v>
                </c:pt>
                <c:pt idx="4">
                  <c:v>#N/A</c:v>
                </c:pt>
                <c:pt idx="5">
                  <c:v>#N/A</c:v>
                </c:pt>
                <c:pt idx="6">
                  <c:v>#N/A</c:v>
                </c:pt>
                <c:pt idx="7">
                  <c:v>#N/A</c:v>
                </c:pt>
                <c:pt idx="8">
                  <c:v>#N/A</c:v>
                </c:pt>
                <c:pt idx="9">
                  <c:v>#N/A</c:v>
                </c:pt>
                <c:pt idx="10">
                  <c:v>0</c:v>
                </c:pt>
                <c:pt idx="11">
                  <c:v>0</c:v>
                </c:pt>
                <c:pt idx="12">
                  <c:v>#N/A</c:v>
                </c:pt>
              </c:numCache>
            </c:numRef>
          </c:val>
          <c:extLst>
            <c:ext xmlns:c16="http://schemas.microsoft.com/office/drawing/2014/chart" uri="{C3380CC4-5D6E-409C-BE32-E72D297353CC}">
              <c16:uniqueId val="{00000000-8ED8-B44A-B4D4-FE4864E936EE}"/>
            </c:ext>
          </c:extLst>
        </c:ser>
        <c:dLbls>
          <c:showLegendKey val="0"/>
          <c:showVal val="0"/>
          <c:showCatName val="0"/>
          <c:showSerName val="0"/>
          <c:showPercent val="0"/>
          <c:showBubbleSize val="0"/>
        </c:dLbls>
        <c:axId val="79617040"/>
        <c:axId val="53745056"/>
      </c:radarChart>
      <c:catAx>
        <c:axId val="79617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EG"/>
          </a:p>
        </c:txPr>
        <c:crossAx val="53745056"/>
        <c:crosses val="autoZero"/>
        <c:auto val="1"/>
        <c:lblAlgn val="ctr"/>
        <c:lblOffset val="100"/>
        <c:noMultiLvlLbl val="0"/>
      </c:catAx>
      <c:valAx>
        <c:axId val="53745056"/>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EG"/>
          </a:p>
        </c:txPr>
        <c:crossAx val="79617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EG"/>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_xlchart.v1.0</cx:f>
      </cx:strDim>
      <cx:numDim type="val">
        <cx:f dir="row">_xlchart.v1.20</cx:f>
      </cx:numDim>
    </cx:data>
    <cx:data id="1">
      <cx:strDim type="cat">
        <cx:f dir="row">_xlchart.v1.0</cx:f>
      </cx:strDim>
      <cx:numDim type="val">
        <cx:f dir="row">_xlchart.v1.11</cx:f>
      </cx:numDim>
    </cx:data>
    <cx:data id="2">
      <cx:strDim type="cat">
        <cx:f dir="row">_xlchart.v1.0</cx:f>
      </cx:strDim>
      <cx:numDim type="val">
        <cx:f dir="row">_xlchart.v1.12</cx:f>
      </cx:numDim>
    </cx:data>
    <cx:data id="3">
      <cx:strDim type="cat">
        <cx:f dir="row">_xlchart.v1.0</cx:f>
      </cx:strDim>
      <cx:numDim type="val">
        <cx:f dir="row">_xlchart.v1.13</cx:f>
      </cx:numDim>
    </cx:data>
    <cx:data id="4">
      <cx:strDim type="cat">
        <cx:f dir="row">_xlchart.v1.0</cx:f>
      </cx:strDim>
      <cx:numDim type="val">
        <cx:f dir="row">_xlchart.v1.14</cx:f>
      </cx:numDim>
    </cx:data>
    <cx:data id="5">
      <cx:strDim type="cat">
        <cx:f dir="row">_xlchart.v1.0</cx:f>
      </cx:strDim>
      <cx:numDim type="val">
        <cx:f dir="row">_xlchart.v1.15</cx:f>
      </cx:numDim>
    </cx:data>
    <cx:data id="6">
      <cx:strDim type="cat">
        <cx:f dir="row">_xlchart.v1.0</cx:f>
      </cx:strDim>
      <cx:numDim type="val">
        <cx:f dir="row">_xlchart.v1.16</cx:f>
      </cx:numDim>
    </cx:data>
    <cx:data id="7">
      <cx:strDim type="cat">
        <cx:f dir="row">_xlchart.v1.0</cx:f>
      </cx:strDim>
      <cx:numDim type="val">
        <cx:f dir="row">_xlchart.v1.17</cx:f>
      </cx:numDim>
    </cx:data>
    <cx:data id="8">
      <cx:strDim type="cat">
        <cx:f dir="row">_xlchart.v1.0</cx:f>
      </cx:strDim>
      <cx:numDim type="val">
        <cx:f dir="row">_xlchart.v1.18</cx:f>
      </cx:numDim>
    </cx:data>
    <cx:data id="9">
      <cx:strDim type="cat">
        <cx:f dir="row">_xlchart.v1.0</cx:f>
      </cx:strDim>
      <cx:numDim type="val">
        <cx:f dir="row">_xlchart.v1.19</cx:f>
      </cx:numDim>
    </cx:data>
  </cx:chartData>
  <cx:chart>
    <cx:title pos="t" align="ctr" overlay="0">
      <cx:tx>
        <cx:txData>
          <cx:v>BIM Modeling Guidelines Evaluation</cx:v>
        </cx:txData>
      </cx:tx>
      <cx:txPr>
        <a:bodyPr spcFirstLastPara="1" vertOverflow="ellipsis" horzOverflow="overflow" wrap="square" lIns="0" tIns="0" rIns="0" bIns="0" anchor="ctr" anchorCtr="1"/>
        <a:lstStyle/>
        <a:p>
          <a:pPr algn="ctr" rtl="0">
            <a:defRPr/>
          </a:pPr>
          <a:r>
            <a:rPr lang="en-US" sz="2000" b="0" i="0" u="none" strike="noStrike" baseline="0">
              <a:solidFill>
                <a:sysClr val="windowText" lastClr="000000">
                  <a:lumMod val="65000"/>
                  <a:lumOff val="35000"/>
                </a:sysClr>
              </a:solidFill>
              <a:latin typeface="Calibri Light" panose="020F0302020204030204"/>
            </a:rPr>
            <a:t>BIM Modeling Guidelines Evaluation</a:t>
          </a:r>
        </a:p>
      </cx:txPr>
    </cx:title>
    <cx:plotArea>
      <cx:plotAreaRegion>
        <cx:plotSurface>
          <cx:spPr>
            <a:noFill/>
          </cx:spPr>
        </cx:plotSurface>
        <cx:series layoutId="boxWhisker" uniqueId="{78855EF5-5C84-CC43-819A-FBFEDEB606B0}" formatIdx="0">
          <cx:tx>
            <cx:txData>
              <cx:f>_xlchart.v1.10</cx:f>
              <cx:v>BIM Model Project Template</cx:v>
            </cx:txData>
          </cx:tx>
          <cx:dataId val="0"/>
          <cx:layoutPr>
            <cx:visibility meanLine="0" meanMarker="1" nonoutliers="1" outliers="1"/>
            <cx:statistics quartileMethod="inclusive"/>
          </cx:layoutPr>
        </cx:series>
        <cx:series layoutId="boxWhisker" uniqueId="{00000030-11DC-D547-8B86-C35A955520DC}" formatIdx="1">
          <cx:tx>
            <cx:txData>
              <cx:f>_xlchart.v1.1</cx:f>
              <cx:v>MEP project Template</cx:v>
            </cx:txData>
          </cx:tx>
          <cx:dataId val="1"/>
          <cx:layoutPr>
            <cx:visibility meanLine="0" meanMarker="1"/>
            <cx:statistics quartileMethod="inclusive"/>
          </cx:layoutPr>
        </cx:series>
        <cx:series layoutId="boxWhisker" uniqueId="{00000031-11DC-D547-8B86-C35A955520DC}" formatIdx="2">
          <cx:tx>
            <cx:txData>
              <cx:f>_xlchart.v1.2</cx:f>
              <cx:v>Co-ordination &amp; Units</cx:v>
            </cx:txData>
          </cx:tx>
          <cx:dataId val="2"/>
          <cx:layoutPr>
            <cx:visibility meanLine="0" meanMarker="1"/>
            <cx:statistics quartileMethod="inclusive"/>
          </cx:layoutPr>
        </cx:series>
        <cx:series layoutId="boxWhisker" uniqueId="{00000032-11DC-D547-8B86-C35A955520DC}" formatIdx="3">
          <cx:tx>
            <cx:txData>
              <cx:f>_xlchart.v1.3</cx:f>
              <cx:v>Level and grid definition</cx:v>
            </cx:txData>
          </cx:tx>
          <cx:dataId val="3"/>
          <cx:layoutPr>
            <cx:visibility meanLine="0" meanMarker="1"/>
            <cx:statistics quartileMethod="inclusive"/>
          </cx:layoutPr>
        </cx:series>
        <cx:series layoutId="boxWhisker" uniqueId="{00000033-11DC-D547-8B86-C35A955520DC}" formatIdx="4">
          <cx:tx>
            <cx:txData>
              <cx:f>_xlchart.v1.4</cx:f>
              <cx:v>Level of development</cx:v>
            </cx:txData>
          </cx:tx>
          <cx:dataId val="4"/>
          <cx:layoutPr>
            <cx:visibility meanLine="0" meanMarker="1"/>
            <cx:statistics quartileMethod="inclusive"/>
          </cx:layoutPr>
        </cx:series>
        <cx:series layoutId="boxWhisker" uniqueId="{00000034-11DC-D547-8B86-C35A955520DC}" formatIdx="5">
          <cx:tx>
            <cx:txData>
              <cx:f>_xlchart.v1.5</cx:f>
              <cx:v>Modelling phases and model management</cx:v>
            </cx:txData>
          </cx:tx>
          <cx:dataId val="5"/>
          <cx:layoutPr>
            <cx:visibility meanLine="0" meanMarker="1"/>
            <cx:statistics quartileMethod="inclusive"/>
          </cx:layoutPr>
        </cx:series>
        <cx:series layoutId="boxWhisker" uniqueId="{00000035-11DC-D547-8B86-C35A955520DC}" formatIdx="6">
          <cx:tx>
            <cx:txData>
              <cx:f>_xlchart.v1.6</cx:f>
              <cx:v>Model breakdown strategy and
 work-sharing (CIVIL, INFRA, MEP)</cx:v>
            </cx:txData>
          </cx:tx>
          <cx:dataId val="6"/>
          <cx:layoutPr>
            <cx:visibility meanLine="0" meanMarker="1"/>
            <cx:statistics quartileMethod="inclusive"/>
          </cx:layoutPr>
        </cx:series>
        <cx:series layoutId="boxWhisker" uniqueId="{00000036-11DC-D547-8B86-C35A955520DC}" formatIdx="7">
          <cx:tx>
            <cx:txData>
              <cx:f>_xlchart.v1.7</cx:f>
              <cx:v>Data ownership and responsibility</cx:v>
            </cx:txData>
          </cx:tx>
          <cx:dataId val="7"/>
          <cx:layoutPr>
            <cx:visibility meanLine="0" meanMarker="1"/>
            <cx:statistics quartileMethod="inclusive"/>
          </cx:layoutPr>
        </cx:series>
        <cx:series layoutId="boxWhisker" uniqueId="{00000037-11DC-D547-8B86-C35A955520DC}" formatIdx="8">
          <cx:tx>
            <cx:txData>
              <cx:f>_xlchart.v1.8</cx:f>
              <cx:v>Consequences of software updates</cx:v>
            </cx:txData>
          </cx:tx>
          <cx:dataId val="8"/>
          <cx:layoutPr>
            <cx:visibility meanLine="0" meanMarker="1"/>
            <cx:statistics quartileMethod="inclusive"/>
          </cx:layoutPr>
        </cx:series>
        <cx:series layoutId="boxWhisker" uniqueId="{00000038-11DC-D547-8B86-C35A955520DC}" formatIdx="9">
          <cx:tx>
            <cx:txData>
              <cx:f>_xlchart.v1.9</cx:f>
              <cx:v>Export settings</cx:v>
            </cx:txData>
          </cx:tx>
          <cx:dataId val="9"/>
          <cx:layoutPr>
            <cx:visibility meanLine="0" meanMarker="1"/>
            <cx:statistics quartileMethod="inclusive"/>
          </cx:layoutPr>
        </cx:series>
      </cx:plotAreaRegion>
      <cx:axis id="0">
        <cx:catScaling gapWidth="1.5"/>
        <cx:tickLabels/>
      </cx:axis>
      <cx:axis id="1">
        <cx:valScaling/>
        <cx:majorGridlines/>
        <cx:minorGridlines/>
        <cx:tickLabels/>
      </cx:axis>
    </cx:plotArea>
    <cx:legend pos="t" align="ctr" overlay="0">
      <cx:spPr>
        <a:noFill/>
        <a:ln>
          <a:noFill/>
        </a:ln>
        <a:effectLst/>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noFill/>
    <a:ln>
      <a:noFill/>
    </a:ln>
    <a:effectLst/>
  </cx:spPr>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74">
  <cs:axisTitle>
    <cs:lnRef idx="0"/>
    <cs:fillRef idx="0"/>
    <cs:effectRef idx="0"/>
    <cs:fontRef idx="minor">
      <a:schemeClr val="tx1">
        <a:lumMod val="65000"/>
        <a:lumOff val="35000"/>
      </a:schemeClr>
    </cs:fontRef>
    <cs:defRPr sz="9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lt1">
        <a:lumMod val="65000"/>
        <a:lumOff val="35000"/>
      </a:schemeClr>
    </cs:fontRef>
    <cs:spPr>
      <a:solidFill>
        <a:schemeClr val="dk1">
          <a:lumMod val="15000"/>
          <a:lumOff val="8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solidFill>
      <a:ln>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lumMod val="60000"/>
        </a:schemeClr>
      </a:solidFill>
    </cs:spPr>
  </cs:dataPointMarker>
  <cs:dataPointMarkerLayout symbol="circle" size="8"/>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2857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25400" cap="flat" cmpd="sng" algn="ctr">
        <a:solidFill>
          <a:schemeClr val="tx1">
            <a:lumMod val="65000"/>
            <a:lumOff val="35000"/>
          </a:schemeClr>
        </a:solidFill>
        <a:round/>
      </a:ln>
    </cs:spPr>
  </cs:hiLoLine>
  <cs:leaderLine>
    <cs:lnRef idx="0"/>
    <cs:fillRef idx="0"/>
    <cs:effectRef idx="0"/>
    <cs:fontRef idx="minor">
      <a:schemeClr val="dk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ajor">
      <a:schemeClr val="tx1">
        <a:lumMod val="65000"/>
        <a:lumOff val="35000"/>
      </a:schemeClr>
    </cs:fontRef>
    <cs:defRPr sz="200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28575">
        <a:solidFill>
          <a:schemeClr val="tx1">
            <a:lumMod val="50000"/>
            <a:lumOff val="50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3.emf"/><Relationship Id="rId3" Type="http://schemas.microsoft.com/office/2014/relationships/chartEx" Target="../charts/chartEx1.xml"/><Relationship Id="rId7" Type="http://schemas.openxmlformats.org/officeDocument/2006/relationships/image" Target="../media/image2.emf"/><Relationship Id="rId2" Type="http://schemas.openxmlformats.org/officeDocument/2006/relationships/chart" Target="../charts/chart1.xml"/><Relationship Id="rId1" Type="http://schemas.openxmlformats.org/officeDocument/2006/relationships/hyperlink" Target="#Maturity!A1"/><Relationship Id="rId6" Type="http://schemas.openxmlformats.org/officeDocument/2006/relationships/hyperlink" Target="#'BIM Ontologies'!A1"/><Relationship Id="rId5" Type="http://schemas.openxmlformats.org/officeDocument/2006/relationships/hyperlink" Target="#'BIM Guidelines'!A1"/><Relationship Id="rId10" Type="http://schemas.openxmlformats.org/officeDocument/2006/relationships/hyperlink" Target="#'Maturity Future Recommendations'!A1"/><Relationship Id="rId4" Type="http://schemas.openxmlformats.org/officeDocument/2006/relationships/chart" Target="../charts/chart2.xml"/><Relationship Id="rId9"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hyperlink" Target="#Passport!A1"/></Relationships>
</file>

<file path=xl/drawings/_rels/drawing4.xml.rels><?xml version="1.0" encoding="UTF-8" standalone="yes"?>
<Relationships xmlns="http://schemas.openxmlformats.org/package/2006/relationships"><Relationship Id="rId1" Type="http://schemas.openxmlformats.org/officeDocument/2006/relationships/hyperlink" Target="#Passport!A1"/></Relationships>
</file>

<file path=xl/drawings/_rels/drawing5.xml.rels><?xml version="1.0" encoding="UTF-8" standalone="yes"?>
<Relationships xmlns="http://schemas.openxmlformats.org/package/2006/relationships"><Relationship Id="rId1" Type="http://schemas.openxmlformats.org/officeDocument/2006/relationships/hyperlink" Target="#Passport!A1"/></Relationships>
</file>

<file path=xl/drawings/_rels/drawing6.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2527300</xdr:colOff>
      <xdr:row>4</xdr:row>
      <xdr:rowOff>96520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alphaModFix amt="35000"/>
        </a:blip>
        <a:stretch>
          <a:fillRect/>
        </a:stretch>
      </xdr:blipFill>
      <xdr:spPr>
        <a:xfrm>
          <a:off x="0" y="0"/>
          <a:ext cx="2781300" cy="11125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2286000</xdr:colOff>
      <xdr:row>28</xdr:row>
      <xdr:rowOff>38100</xdr:rowOff>
    </xdr:from>
    <xdr:to>
      <xdr:col>5</xdr:col>
      <xdr:colOff>38100</xdr:colOff>
      <xdr:row>28</xdr:row>
      <xdr:rowOff>431800</xdr:rowOff>
    </xdr:to>
    <xdr:sp macro="[0]!RoundedRectangle4_Click" textlink="">
      <xdr:nvSpPr>
        <xdr:cNvPr id="5" name="Rounded Rectangle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3390900" y="6426200"/>
          <a:ext cx="7924800" cy="39370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US" sz="1400" b="1">
              <a:latin typeface="+mj-lt"/>
            </a:rPr>
            <a:t>Maturity</a:t>
          </a:r>
          <a:r>
            <a:rPr lang="en-US" sz="1400" b="1" baseline="0">
              <a:latin typeface="+mj-lt"/>
            </a:rPr>
            <a:t> Calculator </a:t>
          </a:r>
          <a:endParaRPr lang="en-US" sz="1400" b="1">
            <a:latin typeface="+mj-lt"/>
          </a:endParaRPr>
        </a:p>
      </xdr:txBody>
    </xdr:sp>
    <xdr:clientData/>
  </xdr:twoCellAnchor>
  <xdr:twoCellAnchor>
    <xdr:from>
      <xdr:col>5</xdr:col>
      <xdr:colOff>4013200</xdr:colOff>
      <xdr:row>45</xdr:row>
      <xdr:rowOff>114300</xdr:rowOff>
    </xdr:from>
    <xdr:to>
      <xdr:col>21</xdr:col>
      <xdr:colOff>127000</xdr:colOff>
      <xdr:row>73</xdr:row>
      <xdr:rowOff>316000</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15290800" y="13538200"/>
          <a:ext cx="21882100" cy="8190000"/>
          <a:chOff x="15455900" y="13385800"/>
          <a:chExt cx="21882100" cy="8190000"/>
        </a:xfrm>
      </xdr:grpSpPr>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15455900" y="14084300"/>
          <a:ext cx="21882100" cy="7250400"/>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15570200" y="13385800"/>
              <a:ext cx="8458200" cy="819000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5570200" y="13385800"/>
                <a:ext cx="8458200" cy="8190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3</xdr:col>
      <xdr:colOff>1244600</xdr:colOff>
      <xdr:row>28</xdr:row>
      <xdr:rowOff>25400</xdr:rowOff>
    </xdr:from>
    <xdr:to>
      <xdr:col>8</xdr:col>
      <xdr:colOff>4838700</xdr:colOff>
      <xdr:row>40</xdr:row>
      <xdr:rowOff>1400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2120900</xdr:colOff>
      <xdr:row>46</xdr:row>
      <xdr:rowOff>88900</xdr:rowOff>
    </xdr:from>
    <xdr:to>
      <xdr:col>4</xdr:col>
      <xdr:colOff>1143000</xdr:colOff>
      <xdr:row>47</xdr:row>
      <xdr:rowOff>165100</xdr:rowOff>
    </xdr:to>
    <xdr:sp macro="[0]!RoundedRectangle4_Click" textlink="">
      <xdr:nvSpPr>
        <xdr:cNvPr id="4" name="Rounded Rectangl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3225800" y="13423900"/>
          <a:ext cx="7543800" cy="39370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US" sz="1400" b="1">
              <a:latin typeface="+mj-lt"/>
            </a:rPr>
            <a:t>BIM</a:t>
          </a:r>
          <a:r>
            <a:rPr lang="en-US" sz="1400" b="1" baseline="0">
              <a:latin typeface="+mj-lt"/>
            </a:rPr>
            <a:t> Guidelines Requierement Evaluation</a:t>
          </a:r>
        </a:p>
      </xdr:txBody>
    </xdr:sp>
    <xdr:clientData/>
  </xdr:twoCellAnchor>
  <xdr:twoCellAnchor>
    <xdr:from>
      <xdr:col>1</xdr:col>
      <xdr:colOff>1549400</xdr:colOff>
      <xdr:row>75</xdr:row>
      <xdr:rowOff>139700</xdr:rowOff>
    </xdr:from>
    <xdr:to>
      <xdr:col>4</xdr:col>
      <xdr:colOff>571500</xdr:colOff>
      <xdr:row>75</xdr:row>
      <xdr:rowOff>533400</xdr:rowOff>
    </xdr:to>
    <xdr:sp macro="[0]!RoundedRectangle4_Click" textlink="">
      <xdr:nvSpPr>
        <xdr:cNvPr id="3" name="Rounded Rectangle 2">
          <a:hlinkClick xmlns:r="http://schemas.openxmlformats.org/officeDocument/2006/relationships" r:id="rId6"/>
          <a:extLst>
            <a:ext uri="{FF2B5EF4-FFF2-40B4-BE49-F238E27FC236}">
              <a16:creationId xmlns:a16="http://schemas.microsoft.com/office/drawing/2014/main" id="{00000000-0008-0000-0100-000003000000}"/>
            </a:ext>
          </a:extLst>
        </xdr:cNvPr>
        <xdr:cNvSpPr/>
      </xdr:nvSpPr>
      <xdr:spPr>
        <a:xfrm>
          <a:off x="2654300" y="25006300"/>
          <a:ext cx="7543800" cy="39370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US" sz="1400" b="1" baseline="0">
              <a:latin typeface="+mj-lt"/>
            </a:rPr>
            <a:t>Ontologies Evaluation</a:t>
          </a:r>
        </a:p>
        <a:p>
          <a:pPr algn="ctr"/>
          <a:endParaRPr lang="en-US" sz="1400" b="1" baseline="0">
            <a:latin typeface="+mj-lt"/>
          </a:endParaRPr>
        </a:p>
      </xdr:txBody>
    </xdr:sp>
    <xdr:clientData/>
  </xdr:twoCellAnchor>
  <xdr:twoCellAnchor>
    <xdr:from>
      <xdr:col>8</xdr:col>
      <xdr:colOff>1371600</xdr:colOff>
      <xdr:row>24</xdr:row>
      <xdr:rowOff>38100</xdr:rowOff>
    </xdr:from>
    <xdr:to>
      <xdr:col>8</xdr:col>
      <xdr:colOff>4089400</xdr:colOff>
      <xdr:row>26</xdr:row>
      <xdr:rowOff>50800</xdr:rowOff>
    </xdr:to>
    <xdr:sp macro="[0]!GetPic" textlink="">
      <xdr:nvSpPr>
        <xdr:cNvPr id="21" name="Rounded Rectangle 20">
          <a:extLst>
            <a:ext uri="{FF2B5EF4-FFF2-40B4-BE49-F238E27FC236}">
              <a16:creationId xmlns:a16="http://schemas.microsoft.com/office/drawing/2014/main" id="{00000000-0008-0000-0100-000015000000}"/>
            </a:ext>
          </a:extLst>
        </xdr:cNvPr>
        <xdr:cNvSpPr/>
      </xdr:nvSpPr>
      <xdr:spPr>
        <a:xfrm>
          <a:off x="20383500" y="5664200"/>
          <a:ext cx="2717800" cy="39370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US" sz="1400" b="1">
              <a:latin typeface="+mj-lt"/>
            </a:rPr>
            <a:t>Upload</a:t>
          </a:r>
          <a:r>
            <a:rPr lang="en-US" sz="1400" b="1" baseline="0">
              <a:latin typeface="+mj-lt"/>
            </a:rPr>
            <a:t> Photo</a:t>
          </a:r>
          <a:endParaRPr lang="en-US" sz="1400" b="1">
            <a:latin typeface="+mj-lt"/>
          </a:endParaRP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215900</xdr:rowOff>
        </xdr:from>
        <xdr:to>
          <xdr:col>2</xdr:col>
          <xdr:colOff>4572000</xdr:colOff>
          <xdr:row>5</xdr:row>
          <xdr:rowOff>88900</xdr:rowOff>
        </xdr:to>
        <xdr:sp macro="" textlink="">
          <xdr:nvSpPr>
            <xdr:cNvPr id="1026" name="Group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Project Name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3</xdr:row>
          <xdr:rowOff>215900</xdr:rowOff>
        </xdr:from>
        <xdr:to>
          <xdr:col>3</xdr:col>
          <xdr:colOff>1308100</xdr:colOff>
          <xdr:row>4</xdr:row>
          <xdr:rowOff>241300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City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3</xdr:row>
          <xdr:rowOff>215900</xdr:rowOff>
        </xdr:from>
        <xdr:to>
          <xdr:col>4</xdr:col>
          <xdr:colOff>1422400</xdr:colOff>
          <xdr:row>4</xdr:row>
          <xdr:rowOff>241300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Country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1485900</xdr:colOff>
          <xdr:row>3</xdr:row>
          <xdr:rowOff>215900</xdr:rowOff>
        </xdr:from>
        <xdr:to>
          <xdr:col>5</xdr:col>
          <xdr:colOff>4051300</xdr:colOff>
          <xdr:row>4</xdr:row>
          <xdr:rowOff>241300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Adress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4102100</xdr:colOff>
          <xdr:row>3</xdr:row>
          <xdr:rowOff>215900</xdr:rowOff>
        </xdr:from>
        <xdr:to>
          <xdr:col>6</xdr:col>
          <xdr:colOff>1600200</xdr:colOff>
          <xdr:row>4</xdr:row>
          <xdr:rowOff>241300</xdr:rowOff>
        </xdr:to>
        <xdr:sp macro="" textlink="">
          <xdr:nvSpPr>
            <xdr:cNvPr id="1032" name="Group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Postal Code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2501900</xdr:colOff>
          <xdr:row>6</xdr:row>
          <xdr:rowOff>50800</xdr:rowOff>
        </xdr:from>
        <xdr:to>
          <xdr:col>2</xdr:col>
          <xdr:colOff>4203700</xdr:colOff>
          <xdr:row>8</xdr:row>
          <xdr:rowOff>12700</xdr:rowOff>
        </xdr:to>
        <xdr:sp macro="" textlink="">
          <xdr:nvSpPr>
            <xdr:cNvPr id="1033" name="Group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Year of Construction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2501900</xdr:colOff>
          <xdr:row>11</xdr:row>
          <xdr:rowOff>190500</xdr:rowOff>
        </xdr:from>
        <xdr:to>
          <xdr:col>2</xdr:col>
          <xdr:colOff>3111500</xdr:colOff>
          <xdr:row>13</xdr:row>
          <xdr:rowOff>50800</xdr:rowOff>
        </xdr:to>
        <xdr:sp macro="" textlink="">
          <xdr:nvSpPr>
            <xdr:cNvPr id="1044" name="Group Box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Owner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11</xdr:row>
          <xdr:rowOff>177800</xdr:rowOff>
        </xdr:from>
        <xdr:to>
          <xdr:col>3</xdr:col>
          <xdr:colOff>1282700</xdr:colOff>
          <xdr:row>13</xdr:row>
          <xdr:rowOff>50800</xdr:rowOff>
        </xdr:to>
        <xdr:sp macro="" textlink="">
          <xdr:nvSpPr>
            <xdr:cNvPr id="1045" name="Group Box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BIM Created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1346200</xdr:colOff>
          <xdr:row>11</xdr:row>
          <xdr:rowOff>177800</xdr:rowOff>
        </xdr:from>
        <xdr:to>
          <xdr:col>4</xdr:col>
          <xdr:colOff>1397000</xdr:colOff>
          <xdr:row>13</xdr:row>
          <xdr:rowOff>50800</xdr:rowOff>
        </xdr:to>
        <xdr:sp macro="" textlink="">
          <xdr:nvSpPr>
            <xdr:cNvPr id="1046" name="Group Box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BIM Creation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1460500</xdr:colOff>
          <xdr:row>11</xdr:row>
          <xdr:rowOff>177800</xdr:rowOff>
        </xdr:from>
        <xdr:to>
          <xdr:col>5</xdr:col>
          <xdr:colOff>1841500</xdr:colOff>
          <xdr:row>13</xdr:row>
          <xdr:rowOff>50800</xdr:rowOff>
        </xdr:to>
        <xdr:sp macro="" textlink="">
          <xdr:nvSpPr>
            <xdr:cNvPr id="1047" name="Group Box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BIM Revision  made by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1892300</xdr:colOff>
          <xdr:row>11</xdr:row>
          <xdr:rowOff>177800</xdr:rowOff>
        </xdr:from>
        <xdr:to>
          <xdr:col>5</xdr:col>
          <xdr:colOff>4140200</xdr:colOff>
          <xdr:row>13</xdr:row>
          <xdr:rowOff>50800</xdr:rowOff>
        </xdr:to>
        <xdr:sp macro="" textlink="">
          <xdr:nvSpPr>
            <xdr:cNvPr id="1049" name="Group Box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BIM Revision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177800</xdr:rowOff>
        </xdr:from>
        <xdr:to>
          <xdr:col>7</xdr:col>
          <xdr:colOff>25400</xdr:colOff>
          <xdr:row>13</xdr:row>
          <xdr:rowOff>50800</xdr:rowOff>
        </xdr:to>
        <xdr:sp macro="" textlink="">
          <xdr:nvSpPr>
            <xdr:cNvPr id="1050" name="Group Box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BIM Revision Number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190500</xdr:rowOff>
        </xdr:from>
        <xdr:to>
          <xdr:col>3</xdr:col>
          <xdr:colOff>38100</xdr:colOff>
          <xdr:row>49</xdr:row>
          <xdr:rowOff>228600</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BIM Model Template Name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51</xdr:row>
          <xdr:rowOff>152400</xdr:rowOff>
        </xdr:from>
        <xdr:to>
          <xdr:col>3</xdr:col>
          <xdr:colOff>25400</xdr:colOff>
          <xdr:row>53</xdr:row>
          <xdr:rowOff>0</xdr:rowOff>
        </xdr:to>
        <xdr:sp macro="" textlink="">
          <xdr:nvSpPr>
            <xdr:cNvPr id="1062" name="Group Box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MEP Model Template Name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58</xdr:row>
          <xdr:rowOff>254000</xdr:rowOff>
        </xdr:from>
        <xdr:to>
          <xdr:col>2</xdr:col>
          <xdr:colOff>4572000</xdr:colOff>
          <xdr:row>60</xdr:row>
          <xdr:rowOff>0</xdr:rowOff>
        </xdr:to>
        <xdr:sp macro="" textlink="">
          <xdr:nvSpPr>
            <xdr:cNvPr id="1063" name="Group Box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Calibri" pitchFamily="2" charset="0"/>
                  <a:cs typeface="Calibri" pitchFamily="2" charset="0"/>
                </a:rPr>
                <a:t>BEP Used</a:t>
              </a:r>
            </a:p>
          </xdr:txBody>
        </xdr:sp>
        <xdr:clientData/>
      </xdr:twoCellAnchor>
    </mc:Choice>
    <mc:Fallback/>
  </mc:AlternateContent>
  <xdr:twoCellAnchor>
    <xdr:from>
      <xdr:col>3</xdr:col>
      <xdr:colOff>50800</xdr:colOff>
      <xdr:row>3</xdr:row>
      <xdr:rowOff>279400</xdr:rowOff>
    </xdr:from>
    <xdr:to>
      <xdr:col>3</xdr:col>
      <xdr:colOff>1308100</xdr:colOff>
      <xdr:row>4</xdr:row>
      <xdr:rowOff>228600</xdr:rowOff>
    </xdr:to>
    <xdr:sp macro="" textlink="" fLocksText="0">
      <xdr:nvSpPr>
        <xdr:cNvPr id="24" name="TextBox22">
          <a:extLst>
            <a:ext uri="{FF2B5EF4-FFF2-40B4-BE49-F238E27FC236}">
              <a16:creationId xmlns:a16="http://schemas.microsoft.com/office/drawing/2014/main" id="{00000000-0008-0000-0100-000018000000}"/>
            </a:ext>
          </a:extLst>
        </xdr:cNvPr>
        <xdr:cNvSpPr txBox="1"/>
      </xdr:nvSpPr>
      <xdr:spPr>
        <a:xfrm>
          <a:off x="8255000" y="1651000"/>
          <a:ext cx="1257300" cy="2921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xdr:col>
      <xdr:colOff>76200</xdr:colOff>
      <xdr:row>3</xdr:row>
      <xdr:rowOff>266700</xdr:rowOff>
    </xdr:from>
    <xdr:to>
      <xdr:col>4</xdr:col>
      <xdr:colOff>1333500</xdr:colOff>
      <xdr:row>4</xdr:row>
      <xdr:rowOff>215900</xdr:rowOff>
    </xdr:to>
    <xdr:sp macro="" textlink="" fLocksText="0">
      <xdr:nvSpPr>
        <xdr:cNvPr id="25" name="TextBox22">
          <a:extLst>
            <a:ext uri="{FF2B5EF4-FFF2-40B4-BE49-F238E27FC236}">
              <a16:creationId xmlns:a16="http://schemas.microsoft.com/office/drawing/2014/main" id="{00000000-0008-0000-0100-000019000000}"/>
            </a:ext>
          </a:extLst>
        </xdr:cNvPr>
        <xdr:cNvSpPr txBox="1"/>
      </xdr:nvSpPr>
      <xdr:spPr>
        <a:xfrm>
          <a:off x="9702800" y="1638300"/>
          <a:ext cx="1257300" cy="2921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xdr:col>
      <xdr:colOff>1549400</xdr:colOff>
      <xdr:row>3</xdr:row>
      <xdr:rowOff>266700</xdr:rowOff>
    </xdr:from>
    <xdr:to>
      <xdr:col>5</xdr:col>
      <xdr:colOff>4064000</xdr:colOff>
      <xdr:row>4</xdr:row>
      <xdr:rowOff>228600</xdr:rowOff>
    </xdr:to>
    <xdr:sp macro="" textlink="" fLocksText="0">
      <xdr:nvSpPr>
        <xdr:cNvPr id="26" name="TextBox22">
          <a:extLst>
            <a:ext uri="{FF2B5EF4-FFF2-40B4-BE49-F238E27FC236}">
              <a16:creationId xmlns:a16="http://schemas.microsoft.com/office/drawing/2014/main" id="{00000000-0008-0000-0100-00001A000000}"/>
            </a:ext>
          </a:extLst>
        </xdr:cNvPr>
        <xdr:cNvSpPr txBox="1"/>
      </xdr:nvSpPr>
      <xdr:spPr>
        <a:xfrm>
          <a:off x="11176000" y="1638300"/>
          <a:ext cx="416560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4152900</xdr:colOff>
      <xdr:row>3</xdr:row>
      <xdr:rowOff>266700</xdr:rowOff>
    </xdr:from>
    <xdr:to>
      <xdr:col>6</xdr:col>
      <xdr:colOff>1612900</xdr:colOff>
      <xdr:row>4</xdr:row>
      <xdr:rowOff>241300</xdr:rowOff>
    </xdr:to>
    <xdr:sp macro="" textlink="" fLocksText="0">
      <xdr:nvSpPr>
        <xdr:cNvPr id="27" name="TextBox22">
          <a:extLst>
            <a:ext uri="{FF2B5EF4-FFF2-40B4-BE49-F238E27FC236}">
              <a16:creationId xmlns:a16="http://schemas.microsoft.com/office/drawing/2014/main" id="{00000000-0008-0000-0100-00001B000000}"/>
            </a:ext>
          </a:extLst>
        </xdr:cNvPr>
        <xdr:cNvSpPr txBox="1"/>
      </xdr:nvSpPr>
      <xdr:spPr>
        <a:xfrm>
          <a:off x="15430500" y="1638300"/>
          <a:ext cx="1663700" cy="3175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38100</xdr:colOff>
      <xdr:row>6</xdr:row>
      <xdr:rowOff>127000</xdr:rowOff>
    </xdr:from>
    <xdr:to>
      <xdr:col>2</xdr:col>
      <xdr:colOff>4203700</xdr:colOff>
      <xdr:row>7</xdr:row>
      <xdr:rowOff>165100</xdr:rowOff>
    </xdr:to>
    <xdr:sp macro="" textlink="" fLocksText="0">
      <xdr:nvSpPr>
        <xdr:cNvPr id="28" name="TextBox22">
          <a:extLst>
            <a:ext uri="{FF2B5EF4-FFF2-40B4-BE49-F238E27FC236}">
              <a16:creationId xmlns:a16="http://schemas.microsoft.com/office/drawing/2014/main" id="{00000000-0008-0000-0100-00001C000000}"/>
            </a:ext>
          </a:extLst>
        </xdr:cNvPr>
        <xdr:cNvSpPr txBox="1"/>
      </xdr:nvSpPr>
      <xdr:spPr>
        <a:xfrm>
          <a:off x="3657600" y="2311400"/>
          <a:ext cx="4165600" cy="2667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2</xdr:col>
      <xdr:colOff>25400</xdr:colOff>
      <xdr:row>12</xdr:row>
      <xdr:rowOff>0</xdr:rowOff>
    </xdr:from>
    <xdr:to>
      <xdr:col>2</xdr:col>
      <xdr:colOff>3111500</xdr:colOff>
      <xdr:row>13</xdr:row>
      <xdr:rowOff>50800</xdr:rowOff>
    </xdr:to>
    <xdr:sp macro="" textlink="" fLocksText="0">
      <xdr:nvSpPr>
        <xdr:cNvPr id="29" name="TextBox22">
          <a:extLst>
            <a:ext uri="{FF2B5EF4-FFF2-40B4-BE49-F238E27FC236}">
              <a16:creationId xmlns:a16="http://schemas.microsoft.com/office/drawing/2014/main" id="{00000000-0008-0000-0100-00001D000000}"/>
            </a:ext>
          </a:extLst>
        </xdr:cNvPr>
        <xdr:cNvSpPr txBox="1"/>
      </xdr:nvSpPr>
      <xdr:spPr>
        <a:xfrm>
          <a:off x="3644900" y="3556000"/>
          <a:ext cx="3086100" cy="2921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50800</xdr:colOff>
      <xdr:row>11</xdr:row>
      <xdr:rowOff>241300</xdr:rowOff>
    </xdr:from>
    <xdr:to>
      <xdr:col>3</xdr:col>
      <xdr:colOff>1257300</xdr:colOff>
      <xdr:row>13</xdr:row>
      <xdr:rowOff>50800</xdr:rowOff>
    </xdr:to>
    <xdr:sp macro="" textlink="" fLocksText="0">
      <xdr:nvSpPr>
        <xdr:cNvPr id="30" name="TextBox22">
          <a:extLst>
            <a:ext uri="{FF2B5EF4-FFF2-40B4-BE49-F238E27FC236}">
              <a16:creationId xmlns:a16="http://schemas.microsoft.com/office/drawing/2014/main" id="{00000000-0008-0000-0100-00001E000000}"/>
            </a:ext>
          </a:extLst>
        </xdr:cNvPr>
        <xdr:cNvSpPr txBox="1"/>
      </xdr:nvSpPr>
      <xdr:spPr>
        <a:xfrm>
          <a:off x="8255000" y="3543300"/>
          <a:ext cx="120650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1371600</xdr:colOff>
      <xdr:row>11</xdr:row>
      <xdr:rowOff>228600</xdr:rowOff>
    </xdr:from>
    <xdr:to>
      <xdr:col>4</xdr:col>
      <xdr:colOff>1498600</xdr:colOff>
      <xdr:row>13</xdr:row>
      <xdr:rowOff>63500</xdr:rowOff>
    </xdr:to>
    <xdr:sp macro="" textlink="" fLocksText="0">
      <xdr:nvSpPr>
        <xdr:cNvPr id="31" name="TextBox22">
          <a:extLst>
            <a:ext uri="{FF2B5EF4-FFF2-40B4-BE49-F238E27FC236}">
              <a16:creationId xmlns:a16="http://schemas.microsoft.com/office/drawing/2014/main" id="{00000000-0008-0000-0100-00001F000000}"/>
            </a:ext>
          </a:extLst>
        </xdr:cNvPr>
        <xdr:cNvSpPr txBox="1"/>
      </xdr:nvSpPr>
      <xdr:spPr>
        <a:xfrm>
          <a:off x="9575800" y="3530600"/>
          <a:ext cx="1549400" cy="3302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4</xdr:col>
      <xdr:colOff>1460500</xdr:colOff>
      <xdr:row>11</xdr:row>
      <xdr:rowOff>228600</xdr:rowOff>
    </xdr:from>
    <xdr:to>
      <xdr:col>5</xdr:col>
      <xdr:colOff>1866900</xdr:colOff>
      <xdr:row>13</xdr:row>
      <xdr:rowOff>63500</xdr:rowOff>
    </xdr:to>
    <xdr:sp macro="" textlink="" fLocksText="0">
      <xdr:nvSpPr>
        <xdr:cNvPr id="32" name="TextBox22">
          <a:extLst>
            <a:ext uri="{FF2B5EF4-FFF2-40B4-BE49-F238E27FC236}">
              <a16:creationId xmlns:a16="http://schemas.microsoft.com/office/drawing/2014/main" id="{00000000-0008-0000-0100-000020000000}"/>
            </a:ext>
          </a:extLst>
        </xdr:cNvPr>
        <xdr:cNvSpPr txBox="1"/>
      </xdr:nvSpPr>
      <xdr:spPr>
        <a:xfrm>
          <a:off x="11087100" y="3530600"/>
          <a:ext cx="2057400" cy="3302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1905000</xdr:colOff>
      <xdr:row>11</xdr:row>
      <xdr:rowOff>215900</xdr:rowOff>
    </xdr:from>
    <xdr:to>
      <xdr:col>5</xdr:col>
      <xdr:colOff>4140200</xdr:colOff>
      <xdr:row>13</xdr:row>
      <xdr:rowOff>50800</xdr:rowOff>
    </xdr:to>
    <xdr:sp macro="" textlink="" fLocksText="0">
      <xdr:nvSpPr>
        <xdr:cNvPr id="33" name="TextBox22">
          <a:extLst>
            <a:ext uri="{FF2B5EF4-FFF2-40B4-BE49-F238E27FC236}">
              <a16:creationId xmlns:a16="http://schemas.microsoft.com/office/drawing/2014/main" id="{00000000-0008-0000-0100-000021000000}"/>
            </a:ext>
          </a:extLst>
        </xdr:cNvPr>
        <xdr:cNvSpPr txBox="1"/>
      </xdr:nvSpPr>
      <xdr:spPr>
        <a:xfrm>
          <a:off x="13182600" y="3517900"/>
          <a:ext cx="2235200" cy="3302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12700</xdr:colOff>
      <xdr:row>11</xdr:row>
      <xdr:rowOff>215900</xdr:rowOff>
    </xdr:from>
    <xdr:to>
      <xdr:col>7</xdr:col>
      <xdr:colOff>12700</xdr:colOff>
      <xdr:row>13</xdr:row>
      <xdr:rowOff>50800</xdr:rowOff>
    </xdr:to>
    <xdr:sp macro="" textlink="" fLocksText="0">
      <xdr:nvSpPr>
        <xdr:cNvPr id="34" name="TextBox22">
          <a:extLst>
            <a:ext uri="{FF2B5EF4-FFF2-40B4-BE49-F238E27FC236}">
              <a16:creationId xmlns:a16="http://schemas.microsoft.com/office/drawing/2014/main" id="{00000000-0008-0000-0100-000022000000}"/>
            </a:ext>
          </a:extLst>
        </xdr:cNvPr>
        <xdr:cNvSpPr txBox="1"/>
      </xdr:nvSpPr>
      <xdr:spPr>
        <a:xfrm>
          <a:off x="15494000" y="3517900"/>
          <a:ext cx="1765300" cy="3302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xdr:txBody>
    </xdr:sp>
    <xdr:clientData/>
  </xdr:twoCellAnchor>
  <xdr:twoCellAnchor>
    <xdr:from>
      <xdr:col>1</xdr:col>
      <xdr:colOff>0</xdr:colOff>
      <xdr:row>48</xdr:row>
      <xdr:rowOff>254000</xdr:rowOff>
    </xdr:from>
    <xdr:to>
      <xdr:col>3</xdr:col>
      <xdr:colOff>50800</xdr:colOff>
      <xdr:row>50</xdr:row>
      <xdr:rowOff>0</xdr:rowOff>
    </xdr:to>
    <xdr:sp macro="" textlink="" fLocksText="0">
      <xdr:nvSpPr>
        <xdr:cNvPr id="35" name="TextBox22">
          <a:extLst>
            <a:ext uri="{FF2B5EF4-FFF2-40B4-BE49-F238E27FC236}">
              <a16:creationId xmlns:a16="http://schemas.microsoft.com/office/drawing/2014/main" id="{00000000-0008-0000-0100-000023000000}"/>
            </a:ext>
          </a:extLst>
        </xdr:cNvPr>
        <xdr:cNvSpPr txBox="1"/>
      </xdr:nvSpPr>
      <xdr:spPr>
        <a:xfrm>
          <a:off x="1104900" y="14363700"/>
          <a:ext cx="715010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25400</xdr:colOff>
      <xdr:row>51</xdr:row>
      <xdr:rowOff>228600</xdr:rowOff>
    </xdr:from>
    <xdr:to>
      <xdr:col>3</xdr:col>
      <xdr:colOff>76200</xdr:colOff>
      <xdr:row>53</xdr:row>
      <xdr:rowOff>25400</xdr:rowOff>
    </xdr:to>
    <xdr:sp macro="" textlink="" fLocksText="0">
      <xdr:nvSpPr>
        <xdr:cNvPr id="36" name="TextBox22">
          <a:extLst>
            <a:ext uri="{FF2B5EF4-FFF2-40B4-BE49-F238E27FC236}">
              <a16:creationId xmlns:a16="http://schemas.microsoft.com/office/drawing/2014/main" id="{00000000-0008-0000-0100-000024000000}"/>
            </a:ext>
          </a:extLst>
        </xdr:cNvPr>
        <xdr:cNvSpPr txBox="1"/>
      </xdr:nvSpPr>
      <xdr:spPr>
        <a:xfrm>
          <a:off x="1130300" y="15138400"/>
          <a:ext cx="715010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25400</xdr:colOff>
      <xdr:row>59</xdr:row>
      <xdr:rowOff>25400</xdr:rowOff>
    </xdr:from>
    <xdr:to>
      <xdr:col>2</xdr:col>
      <xdr:colOff>4559300</xdr:colOff>
      <xdr:row>60</xdr:row>
      <xdr:rowOff>12700</xdr:rowOff>
    </xdr:to>
    <xdr:sp macro="" textlink="" fLocksText="0">
      <xdr:nvSpPr>
        <xdr:cNvPr id="37" name="TextBox22">
          <a:extLst>
            <a:ext uri="{FF2B5EF4-FFF2-40B4-BE49-F238E27FC236}">
              <a16:creationId xmlns:a16="http://schemas.microsoft.com/office/drawing/2014/main" id="{00000000-0008-0000-0100-000025000000}"/>
            </a:ext>
          </a:extLst>
        </xdr:cNvPr>
        <xdr:cNvSpPr txBox="1"/>
      </xdr:nvSpPr>
      <xdr:spPr>
        <a:xfrm>
          <a:off x="1130300" y="16929100"/>
          <a:ext cx="7048500" cy="2921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mc:AlternateContent xmlns:mc="http://schemas.openxmlformats.org/markup-compatibility/2006">
    <mc:Choice xmlns:a14="http://schemas.microsoft.com/office/drawing/2010/main" Requires="a14">
      <xdr:twoCellAnchor>
        <xdr:from>
          <xdr:col>2</xdr:col>
          <xdr:colOff>2822584</xdr:colOff>
          <xdr:row>78</xdr:row>
          <xdr:rowOff>38100</xdr:rowOff>
        </xdr:from>
        <xdr:to>
          <xdr:col>3</xdr:col>
          <xdr:colOff>469900</xdr:colOff>
          <xdr:row>94</xdr:row>
          <xdr:rowOff>9886</xdr:rowOff>
        </xdr:to>
        <xdr:pic>
          <xdr:nvPicPr>
            <xdr:cNvPr id="12" name="Picture 11">
              <a:extLst>
                <a:ext uri="{FF2B5EF4-FFF2-40B4-BE49-F238E27FC236}">
                  <a16:creationId xmlns:a16="http://schemas.microsoft.com/office/drawing/2014/main" id="{00000000-0008-0000-0100-00000C000000}"/>
                </a:ext>
              </a:extLst>
            </xdr:cNvPr>
            <xdr:cNvPicPr>
              <a:picLocks noChangeAspect="1"/>
              <a:extLst>
                <a:ext uri="{84589F7E-364E-4C9E-8A38-B11213B215E9}">
                  <a14:cameraTool cellRange="ShowCert.3" spid="_x0000_s1844"/>
                </a:ext>
              </a:extLst>
            </xdr:cNvPicPr>
          </xdr:nvPicPr>
          <xdr:blipFill>
            <a:blip xmlns:r="http://schemas.openxmlformats.org/officeDocument/2006/relationships" r:embed="rId7"/>
            <a:srcRect/>
            <a:stretch>
              <a:fillRect/>
            </a:stretch>
          </xdr:blipFill>
          <xdr:spPr>
            <a:xfrm>
              <a:off x="6442084" y="23456900"/>
              <a:ext cx="2232016" cy="3019786"/>
            </a:xfrm>
            <a:prstGeom prst="rect">
              <a:avLst/>
            </a:prstGeom>
            <a:ln>
              <a:noFill/>
            </a:ln>
          </xdr:spPr>
        </xdr:pic>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853358</xdr:colOff>
          <xdr:row>78</xdr:row>
          <xdr:rowOff>49928</xdr:rowOff>
        </xdr:from>
        <xdr:to>
          <xdr:col>2</xdr:col>
          <xdr:colOff>482600</xdr:colOff>
          <xdr:row>95</xdr:row>
          <xdr:rowOff>20772</xdr:rowOff>
        </xdr:to>
        <xdr:pic>
          <xdr:nvPicPr>
            <xdr:cNvPr id="14" name="Picture 13">
              <a:extLst>
                <a:ext uri="{FF2B5EF4-FFF2-40B4-BE49-F238E27FC236}">
                  <a16:creationId xmlns:a16="http://schemas.microsoft.com/office/drawing/2014/main" id="{00000000-0008-0000-0100-00000E000000}"/>
                </a:ext>
              </a:extLst>
            </xdr:cNvPr>
            <xdr:cNvPicPr>
              <a:picLocks noChangeAspect="1"/>
              <a:extLst>
                <a:ext uri="{84589F7E-364E-4C9E-8A38-B11213B215E9}">
                  <a14:cameraTool cellRange="ShowCert.1" spid="_x0000_s1845"/>
                </a:ext>
              </a:extLst>
            </xdr:cNvPicPr>
          </xdr:nvPicPr>
          <xdr:blipFill>
            <a:blip xmlns:r="http://schemas.openxmlformats.org/officeDocument/2006/relationships" r:embed="rId8"/>
            <a:stretch>
              <a:fillRect/>
            </a:stretch>
          </xdr:blipFill>
          <xdr:spPr>
            <a:xfrm>
              <a:off x="1958258" y="23468728"/>
              <a:ext cx="2143842" cy="3209344"/>
            </a:xfrm>
            <a:prstGeom prst="rect">
              <a:avLst/>
            </a:prstGeom>
          </xdr:spPr>
        </xdr:pic>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533400</xdr:colOff>
          <xdr:row>78</xdr:row>
          <xdr:rowOff>63352</xdr:rowOff>
        </xdr:from>
        <xdr:to>
          <xdr:col>2</xdr:col>
          <xdr:colOff>2870200</xdr:colOff>
          <xdr:row>93</xdr:row>
          <xdr:rowOff>156358</xdr:rowOff>
        </xdr:to>
        <xdr:pic>
          <xdr:nvPicPr>
            <xdr:cNvPr id="11" name="Picture 10">
              <a:extLst>
                <a:ext uri="{FF2B5EF4-FFF2-40B4-BE49-F238E27FC236}">
                  <a16:creationId xmlns:a16="http://schemas.microsoft.com/office/drawing/2014/main" id="{00000000-0008-0000-0100-00000B000000}"/>
                </a:ext>
              </a:extLst>
            </xdr:cNvPr>
            <xdr:cNvPicPr>
              <a:picLocks noChangeAspect="1"/>
              <a:extLst>
                <a:ext uri="{84589F7E-364E-4C9E-8A38-B11213B215E9}">
                  <a14:cameraTool cellRange="ShowCert2." spid="_x0000_s1846"/>
                </a:ext>
              </a:extLst>
            </xdr:cNvPicPr>
          </xdr:nvPicPr>
          <xdr:blipFill>
            <a:blip xmlns:r="http://schemas.openxmlformats.org/officeDocument/2006/relationships" r:embed="rId9"/>
            <a:srcRect/>
            <a:stretch>
              <a:fillRect/>
            </a:stretch>
          </xdr:blipFill>
          <xdr:spPr>
            <a:xfrm>
              <a:off x="4152900" y="23482152"/>
              <a:ext cx="2336800" cy="2950506"/>
            </a:xfrm>
            <a:prstGeom prst="rect">
              <a:avLst/>
            </a:prstGeom>
          </xdr:spPr>
        </xdr:pic>
        <xdr:clientData fLocksWithSheet="0"/>
      </xdr:twoCellAnchor>
    </mc:Choice>
    <mc:Fallback/>
  </mc:AlternateContent>
  <xdr:twoCellAnchor>
    <xdr:from>
      <xdr:col>2</xdr:col>
      <xdr:colOff>1308100</xdr:colOff>
      <xdr:row>31</xdr:row>
      <xdr:rowOff>215900</xdr:rowOff>
    </xdr:from>
    <xdr:to>
      <xdr:col>3</xdr:col>
      <xdr:colOff>127000</xdr:colOff>
      <xdr:row>32</xdr:row>
      <xdr:rowOff>215900</xdr:rowOff>
    </xdr:to>
    <xdr:sp macro="[0]!RoundedRectangle4_Click" textlink="">
      <xdr:nvSpPr>
        <xdr:cNvPr id="7" name="Rounded Rectangle 6">
          <a:hlinkClick xmlns:r="http://schemas.openxmlformats.org/officeDocument/2006/relationships" r:id="rId10"/>
          <a:extLst>
            <a:ext uri="{FF2B5EF4-FFF2-40B4-BE49-F238E27FC236}">
              <a16:creationId xmlns:a16="http://schemas.microsoft.com/office/drawing/2014/main" id="{343F33A5-10FE-F644-A11F-1F64554577E8}"/>
            </a:ext>
          </a:extLst>
        </xdr:cNvPr>
        <xdr:cNvSpPr/>
      </xdr:nvSpPr>
      <xdr:spPr>
        <a:xfrm>
          <a:off x="4927600" y="9144000"/>
          <a:ext cx="3403600" cy="48260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800" b="1">
              <a:latin typeface="+mj-lt"/>
            </a:rPr>
            <a:t>Maturity</a:t>
          </a:r>
          <a:r>
            <a:rPr lang="en-US" sz="1800" b="1" baseline="0">
              <a:latin typeface="+mj-lt"/>
            </a:rPr>
            <a:t> Recomendations</a:t>
          </a:r>
        </a:p>
        <a:p>
          <a:pPr algn="ctr"/>
          <a:endParaRPr lang="en-US" sz="1800" b="1">
            <a:latin typeface="+mj-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xdr:colOff>
      <xdr:row>240</xdr:row>
      <xdr:rowOff>50800</xdr:rowOff>
    </xdr:from>
    <xdr:to>
      <xdr:col>3</xdr:col>
      <xdr:colOff>2362200</xdr:colOff>
      <xdr:row>243</xdr:row>
      <xdr:rowOff>101600</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044700" y="49669700"/>
          <a:ext cx="2324100" cy="660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Back</a:t>
          </a:r>
          <a:r>
            <a:rPr lang="en-US" sz="1600" b="1" baseline="0">
              <a:latin typeface="+mj-lt"/>
            </a:rPr>
            <a:t> to Passport </a:t>
          </a:r>
          <a:endParaRPr lang="en-US" sz="1600" b="1">
            <a:latin typeface="+mj-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190500</xdr:colOff>
      <xdr:row>51</xdr:row>
      <xdr:rowOff>50800</xdr:rowOff>
    </xdr:from>
    <xdr:to>
      <xdr:col>2</xdr:col>
      <xdr:colOff>1689100</xdr:colOff>
      <xdr:row>54</xdr:row>
      <xdr:rowOff>25400</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1016000" y="12433300"/>
          <a:ext cx="2324100" cy="660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Back</a:t>
          </a:r>
          <a:r>
            <a:rPr lang="en-US" sz="1600" b="1" baseline="0">
              <a:latin typeface="+mj-lt"/>
            </a:rPr>
            <a:t> to Passport </a:t>
          </a:r>
          <a:endParaRPr lang="en-US" sz="1600" b="1">
            <a:latin typeface="+mj-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1727200</xdr:colOff>
      <xdr:row>167</xdr:row>
      <xdr:rowOff>165100</xdr:rowOff>
    </xdr:from>
    <xdr:to>
      <xdr:col>3</xdr:col>
      <xdr:colOff>131233</xdr:colOff>
      <xdr:row>171</xdr:row>
      <xdr:rowOff>4233</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a:off x="1727200" y="50292000"/>
          <a:ext cx="1794933" cy="90593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Back</a:t>
          </a:r>
          <a:r>
            <a:rPr lang="en-US" sz="1600" b="1" baseline="0">
              <a:latin typeface="+mj-lt"/>
            </a:rPr>
            <a:t> to Passport </a:t>
          </a:r>
          <a:endParaRPr lang="en-US" sz="1600" b="1">
            <a:latin typeface="+mj-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673100</xdr:colOff>
      <xdr:row>3</xdr:row>
      <xdr:rowOff>292100</xdr:rowOff>
    </xdr:from>
    <xdr:to>
      <xdr:col>8</xdr:col>
      <xdr:colOff>362108</xdr:colOff>
      <xdr:row>7</xdr:row>
      <xdr:rowOff>1393743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44300" y="1536700"/>
          <a:ext cx="4838700" cy="4365543"/>
        </a:xfrm>
        <a:prstGeom prst="rect">
          <a:avLst/>
        </a:prstGeom>
      </xdr:spPr>
    </xdr:pic>
    <xdr:clientData/>
  </xdr:twoCellAnchor>
  <xdr:twoCellAnchor editAs="oneCell">
    <xdr:from>
      <xdr:col>4</xdr:col>
      <xdr:colOff>800099</xdr:colOff>
      <xdr:row>7</xdr:row>
      <xdr:rowOff>1549400</xdr:rowOff>
    </xdr:from>
    <xdr:to>
      <xdr:col>9</xdr:col>
      <xdr:colOff>436737</xdr:colOff>
      <xdr:row>10</xdr:row>
      <xdr:rowOff>190500</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58499" y="6057900"/>
          <a:ext cx="6411929" cy="1892300"/>
        </a:xfrm>
        <a:prstGeom prst="rect">
          <a:avLst/>
        </a:prstGeom>
      </xdr:spPr>
    </xdr:pic>
    <xdr:clientData/>
  </xdr:twoCellAnchor>
  <xdr:twoCellAnchor editAs="oneCell">
    <xdr:from>
      <xdr:col>4</xdr:col>
      <xdr:colOff>762000</xdr:colOff>
      <xdr:row>13</xdr:row>
      <xdr:rowOff>190500</xdr:rowOff>
    </xdr:from>
    <xdr:to>
      <xdr:col>10</xdr:col>
      <xdr:colOff>82708</xdr:colOff>
      <xdr:row>19</xdr:row>
      <xdr:rowOff>2990212</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633200" y="8750300"/>
          <a:ext cx="6908800" cy="6381112"/>
        </a:xfrm>
        <a:prstGeom prst="rect">
          <a:avLst/>
        </a:prstGeom>
      </xdr:spPr>
    </xdr:pic>
    <xdr:clientData/>
  </xdr:twoCellAnchor>
  <xdr:twoCellAnchor editAs="oneCell">
    <xdr:from>
      <xdr:col>4</xdr:col>
      <xdr:colOff>266700</xdr:colOff>
      <xdr:row>19</xdr:row>
      <xdr:rowOff>4064000</xdr:rowOff>
    </xdr:from>
    <xdr:to>
      <xdr:col>10</xdr:col>
      <xdr:colOff>1858221</xdr:colOff>
      <xdr:row>20</xdr:row>
      <xdr:rowOff>2108200</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137900" y="16205200"/>
          <a:ext cx="9179614" cy="2451100"/>
        </a:xfrm>
        <a:prstGeom prst="rect">
          <a:avLst/>
        </a:prstGeom>
      </xdr:spPr>
    </xdr:pic>
    <xdr:clientData/>
  </xdr:twoCellAnchor>
  <xdr:twoCellAnchor>
    <xdr:from>
      <xdr:col>5</xdr:col>
      <xdr:colOff>97294</xdr:colOff>
      <xdr:row>35</xdr:row>
      <xdr:rowOff>487220</xdr:rowOff>
    </xdr:from>
    <xdr:to>
      <xdr:col>6</xdr:col>
      <xdr:colOff>11717</xdr:colOff>
      <xdr:row>36</xdr:row>
      <xdr:rowOff>119761</xdr:rowOff>
    </xdr:to>
    <xdr:pic>
      <xdr:nvPicPr>
        <xdr:cNvPr id="25" name="cert1">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187694" y="28719320"/>
          <a:ext cx="1667023" cy="1931241"/>
        </a:xfrm>
        <a:prstGeom prst="rect">
          <a:avLst/>
        </a:prstGeom>
      </xdr:spPr>
    </xdr:pic>
    <xdr:clientData/>
  </xdr:twoCellAnchor>
  <xdr:twoCellAnchor>
    <xdr:from>
      <xdr:col>7</xdr:col>
      <xdr:colOff>248119</xdr:colOff>
      <xdr:row>35</xdr:row>
      <xdr:rowOff>371242</xdr:rowOff>
    </xdr:from>
    <xdr:to>
      <xdr:col>7</xdr:col>
      <xdr:colOff>1955501</xdr:colOff>
      <xdr:row>36</xdr:row>
      <xdr:rowOff>161219</xdr:rowOff>
    </xdr:to>
    <xdr:pic>
      <xdr:nvPicPr>
        <xdr:cNvPr id="26" name="Picture 25">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15386519" y="28603342"/>
          <a:ext cx="1707382" cy="2088677"/>
        </a:xfrm>
        <a:prstGeom prst="rect">
          <a:avLst/>
        </a:prstGeom>
      </xdr:spPr>
    </xdr:pic>
    <xdr:clientData fLocksWithSheet="0"/>
  </xdr:twoCellAnchor>
  <xdr:twoCellAnchor>
    <xdr:from>
      <xdr:col>10</xdr:col>
      <xdr:colOff>287586</xdr:colOff>
      <xdr:row>35</xdr:row>
      <xdr:rowOff>391706</xdr:rowOff>
    </xdr:from>
    <xdr:to>
      <xdr:col>10</xdr:col>
      <xdr:colOff>1930399</xdr:colOff>
      <xdr:row>36</xdr:row>
      <xdr:rowOff>117011</xdr:rowOff>
    </xdr:to>
    <xdr:pic>
      <xdr:nvPicPr>
        <xdr:cNvPr id="27" name="Pictur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19134386" y="28623806"/>
          <a:ext cx="1642813" cy="2024005"/>
        </a:xfrm>
        <a:prstGeom prst="rect">
          <a:avLst/>
        </a:prstGeom>
        <a:ln>
          <a:noFill/>
        </a:ln>
      </xdr:spPr>
    </xdr:pic>
    <xdr:clientData fLock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Essam/Downloads/Link-Picture-to-Cell-Value.xlsx" TargetMode="External"/><Relationship Id="rId1" Type="http://schemas.openxmlformats.org/officeDocument/2006/relationships/externalLinkPath" Target="/Users/Essam/Downloads/Link-Picture-to-Cell-Value.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isclaimer-Smartsheet-Templates_Solution1-Tab5"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set"/>
      <sheetName val="Paste Special"/>
      <sheetName val="Camera Tool"/>
      <sheetName val="Hyperlink"/>
      <sheetName val="Dyanamic Link"/>
    </sheetNames>
    <sheetDataSet>
      <sheetData sheetId="0" refreshError="1"/>
      <sheetData sheetId="1" refreshError="1"/>
      <sheetData sheetId="2" refreshError="1"/>
      <sheetData sheetId="3" refreshError="1"/>
      <sheetData sheetId="4">
        <row r="5">
          <cell r="E5" t="str">
            <v>Instagram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tenance Work Order"/>
      <sheetName val="BLANK - Maintenance Work Order "/>
      <sheetName val="- Disclaimer -"/>
    </sheetNames>
    <sheetDataSet>
      <sheetData sheetId="0"/>
      <sheetData sheetId="1" refreshError="1"/>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Samaneh Rezvani" id="{6F643C36-D749-4613-B3A7-21A811DFD981}" userId="S::Samaneh@demobv.nl::ebdf9932-164d-48f3-a075-d3fa3e40398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4" dT="2022-12-07T09:50:16.11" personId="{6F643C36-D749-4613-B3A7-21A811DFD981}" id="{00ACBEB6-A68F-48E9-B47C-D05F02FE0FBF}">
    <text>What is extra elements? Is this a question or is this description for the question 3?</text>
  </threadedComment>
  <threadedComment ref="E6" dT="2022-12-07T09:51:44.22" personId="{6F643C36-D749-4613-B3A7-21A811DFD981}" id="{04313B10-7451-4AD0-ABB8-B193226DECBC}">
    <text xml:space="preserve">How do they differentiate between roof and the façade? </text>
  </threadedComment>
  <threadedComment ref="E10" dT="2022-12-07T10:02:15.61" personId="{6F643C36-D749-4613-B3A7-21A811DFD981}" id="{F978759A-97D3-4D18-AC8F-3A352AF292C3}">
    <text>Same as above, how one can answer this question for wall, floor and ceiling separately? Maybe walls exist but not the ceiling</text>
  </threadedComment>
  <threadedComment ref="E14" dT="2022-12-07T10:03:09.01" personId="{6F643C36-D749-4613-B3A7-21A811DFD981}" id="{A21A7832-F038-4F76-BEF4-DAE0DA911DBC}">
    <text>Not clear</text>
  </threadedComment>
  <threadedComment ref="E16" dT="2022-12-07T10:03:53.12" personId="{6F643C36-D749-4613-B3A7-21A811DFD981}" id="{6FF9C44E-EE8B-4648-819A-86F1175B0800}">
    <text xml:space="preserve">I am not sure how one should answer this question/ </text>
  </threadedComment>
  <threadedComment ref="E21" dT="2022-12-07T10:04:42.47" personId="{6F643C36-D749-4613-B3A7-21A811DFD981}" id="{2174BBC0-9953-42E8-998A-397FC5960459}">
    <text>Is this only for HVAC system? What about other interfaces? What do we mean?</text>
  </threadedComment>
  <threadedComment ref="E25" dT="2022-12-07T10:05:49.76" personId="{6F643C36-D749-4613-B3A7-21A811DFD981}" id="{3BFA6A1F-0DA5-4235-BF41-34965E73C610}">
    <text>Is this a question?</text>
  </threadedComment>
  <threadedComment ref="E26" dT="2022-12-07T10:05:41.18" personId="{6F643C36-D749-4613-B3A7-21A811DFD981}" id="{47499276-5BC4-4C40-8EDE-3A38A90E448B}">
    <text>Is this a question?</text>
  </threadedComment>
  <threadedComment ref="E46" dT="2022-12-07T10:07:23.61" personId="{6F643C36-D749-4613-B3A7-21A811DFD981}" id="{CDAFEAB3-078E-4B2C-9AB5-0C8B87315A06}">
    <text>Is this at element level or component level?</text>
  </threadedComment>
  <threadedComment ref="E47" dT="2022-12-07T10:07:29.12" personId="{6F643C36-D749-4613-B3A7-21A811DFD981}" id="{62E18738-E8F2-40F6-87C6-1E1FD0875E27}">
    <text>?</text>
  </threadedComment>
  <threadedComment ref="E62" dT="2022-12-07T10:07:46.66" personId="{6F643C36-D749-4613-B3A7-21A811DFD981}" id="{69281FCF-3D0F-4669-9452-E20E5FD265C3}">
    <text>?</text>
  </threadedComment>
  <threadedComment ref="E86" dT="2022-12-07T10:09:19.72" personId="{6F643C36-D749-4613-B3A7-21A811DFD981}" id="{18892F1D-BB1E-446C-A6A3-5F9DBB371631}">
    <text>What is the difference between indicator in question 5 and cost parameter type?</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5.xml"/><Relationship Id="rId5"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B1:C62"/>
  <sheetViews>
    <sheetView showGridLines="0" tabSelected="1" topLeftCell="A4" workbookViewId="0">
      <selection activeCell="M7" sqref="M7"/>
    </sheetView>
  </sheetViews>
  <sheetFormatPr baseColWidth="10" defaultColWidth="10.83203125" defaultRowHeight="21"/>
  <cols>
    <col min="1" max="1" width="3.33203125" style="56" customWidth="1"/>
    <col min="2" max="2" width="175.83203125" style="56" customWidth="1"/>
    <col min="3" max="16384" width="10.83203125" style="56"/>
  </cols>
  <sheetData>
    <row r="1" spans="2:3" ht="20" customHeight="1"/>
    <row r="2" spans="2:3" ht="20" customHeight="1"/>
    <row r="3" spans="2:3" ht="20" customHeight="1"/>
    <row r="4" spans="2:3" ht="20" customHeight="1"/>
    <row r="5" spans="2:3" s="117" customFormat="1" ht="51">
      <c r="B5" s="118" t="s">
        <v>536</v>
      </c>
      <c r="C5"/>
    </row>
    <row r="7" spans="2:3" s="113" customFormat="1" ht="132">
      <c r="B7" s="124" t="s">
        <v>554</v>
      </c>
    </row>
    <row r="8" spans="2:3" s="113" customFormat="1" ht="88">
      <c r="B8" s="124" t="s">
        <v>555</v>
      </c>
    </row>
    <row r="9" spans="2:3" s="113" customFormat="1" ht="88">
      <c r="B9" s="124" t="s">
        <v>556</v>
      </c>
    </row>
    <row r="10" spans="2:3" s="115" customFormat="1" ht="24">
      <c r="B10" s="116"/>
    </row>
    <row r="11" spans="2:3" s="115" customFormat="1" ht="111">
      <c r="B11" s="114" t="s">
        <v>551</v>
      </c>
    </row>
    <row r="12" spans="2:3" s="115" customFormat="1" ht="24">
      <c r="B12" s="119"/>
    </row>
    <row r="13" spans="2:3" s="115" customFormat="1" ht="67">
      <c r="B13" s="114" t="s">
        <v>557</v>
      </c>
    </row>
    <row r="14" spans="2:3" s="115" customFormat="1" ht="24">
      <c r="B14" s="119"/>
    </row>
    <row r="15" spans="2:3" s="115" customFormat="1" ht="89">
      <c r="B15" s="114" t="s">
        <v>558</v>
      </c>
    </row>
    <row r="16" spans="2:3">
      <c r="B16" s="119"/>
    </row>
    <row r="17" spans="2:2" ht="44">
      <c r="B17" s="114" t="s">
        <v>559</v>
      </c>
    </row>
    <row r="18" spans="2:2">
      <c r="B18" s="112"/>
    </row>
    <row r="21" spans="2:2">
      <c r="B21" s="121" t="s">
        <v>541</v>
      </c>
    </row>
    <row r="22" spans="2:2" s="113" customFormat="1" ht="44">
      <c r="B22" s="114" t="s">
        <v>561</v>
      </c>
    </row>
    <row r="23" spans="2:2" s="113" customFormat="1">
      <c r="B23" s="119"/>
    </row>
    <row r="24" spans="2:2" s="113" customFormat="1">
      <c r="B24" s="120" t="s">
        <v>537</v>
      </c>
    </row>
    <row r="25" spans="2:2" s="113" customFormat="1">
      <c r="B25" s="120" t="s">
        <v>538</v>
      </c>
    </row>
    <row r="26" spans="2:2" s="113" customFormat="1">
      <c r="B26" s="120" t="s">
        <v>540</v>
      </c>
    </row>
    <row r="27" spans="2:2" s="113" customFormat="1">
      <c r="B27" s="120" t="s">
        <v>539</v>
      </c>
    </row>
    <row r="28" spans="2:2" s="113" customFormat="1">
      <c r="B28" s="119"/>
    </row>
    <row r="29" spans="2:2" s="113" customFormat="1" ht="88">
      <c r="B29" s="114" t="s">
        <v>560</v>
      </c>
    </row>
    <row r="30" spans="2:2" s="113" customFormat="1">
      <c r="B30" s="114"/>
    </row>
    <row r="32" spans="2:2">
      <c r="B32" s="122" t="s">
        <v>294</v>
      </c>
    </row>
    <row r="33" spans="2:2" ht="44" customHeight="1">
      <c r="B33" s="114" t="s">
        <v>542</v>
      </c>
    </row>
    <row r="34" spans="2:2">
      <c r="B34" s="30"/>
    </row>
    <row r="35" spans="2:2" ht="66">
      <c r="B35" s="114" t="s">
        <v>553</v>
      </c>
    </row>
    <row r="36" spans="2:2" ht="47" customHeight="1">
      <c r="B36" s="114" t="s">
        <v>552</v>
      </c>
    </row>
    <row r="37" spans="2:2" ht="44">
      <c r="B37" s="114" t="s">
        <v>543</v>
      </c>
    </row>
    <row r="40" spans="2:2">
      <c r="B40" s="122" t="s">
        <v>544</v>
      </c>
    </row>
    <row r="41" spans="2:2" ht="68" customHeight="1">
      <c r="B41" s="114" t="s">
        <v>549</v>
      </c>
    </row>
    <row r="42" spans="2:2" ht="66">
      <c r="B42" s="114" t="s">
        <v>550</v>
      </c>
    </row>
    <row r="43" spans="2:2">
      <c r="B43" s="119"/>
    </row>
    <row r="44" spans="2:2" ht="44">
      <c r="B44" s="114" t="s">
        <v>545</v>
      </c>
    </row>
    <row r="45" spans="2:2">
      <c r="B45" s="119"/>
    </row>
    <row r="46" spans="2:2" ht="44">
      <c r="B46" s="114" t="s">
        <v>546</v>
      </c>
    </row>
    <row r="47" spans="2:2">
      <c r="B47" s="119"/>
    </row>
    <row r="48" spans="2:2" ht="44">
      <c r="B48" s="114" t="s">
        <v>547</v>
      </c>
    </row>
    <row r="49" spans="2:2">
      <c r="B49" s="119"/>
    </row>
    <row r="50" spans="2:2" ht="66">
      <c r="B50" s="114" t="s">
        <v>548</v>
      </c>
    </row>
    <row r="54" spans="2:2">
      <c r="B54" s="122"/>
    </row>
    <row r="55" spans="2:2" ht="50" customHeight="1">
      <c r="B55" s="114"/>
    </row>
    <row r="56" spans="2:2">
      <c r="B56" s="114"/>
    </row>
    <row r="57" spans="2:2">
      <c r="B57" s="119"/>
    </row>
    <row r="58" spans="2:2">
      <c r="B58" s="114"/>
    </row>
    <row r="59" spans="2:2">
      <c r="B59" s="119"/>
    </row>
    <row r="60" spans="2:2">
      <c r="B60" s="114"/>
    </row>
    <row r="61" spans="2:2">
      <c r="B61"/>
    </row>
    <row r="62" spans="2:2">
      <c r="B62" s="123"/>
    </row>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pageSetUpPr fitToPage="1"/>
  </sheetPr>
  <dimension ref="A1:M971"/>
  <sheetViews>
    <sheetView showGridLines="0" zoomScaleNormal="100" zoomScalePageLayoutView="110" workbookViewId="0">
      <selection activeCell="E41" sqref="E41"/>
    </sheetView>
  </sheetViews>
  <sheetFormatPr baseColWidth="10" defaultColWidth="14.5" defaultRowHeight="15.75" customHeight="1"/>
  <cols>
    <col min="2" max="2" width="33" bestFit="1" customWidth="1"/>
    <col min="3" max="3" width="60.1640625" bestFit="1" customWidth="1"/>
    <col min="4" max="4" width="18.6640625" bestFit="1" customWidth="1"/>
    <col min="5" max="5" width="21.6640625" customWidth="1"/>
    <col min="6" max="6" width="55.1640625" customWidth="1"/>
    <col min="7" max="8" width="23.1640625" customWidth="1"/>
    <col min="9" max="9" width="69.6640625" customWidth="1"/>
    <col min="10" max="11" width="11" bestFit="1" customWidth="1"/>
    <col min="20" max="20" width="14.5" customWidth="1"/>
  </cols>
  <sheetData>
    <row r="1" spans="2:13" ht="62">
      <c r="B1" s="9"/>
      <c r="C1" s="14" t="str">
        <f>CONCATENATE(C5,"  ","Passport")</f>
        <v xml:space="preserve">  Passport</v>
      </c>
    </row>
    <row r="2" spans="2:13" ht="31">
      <c r="C2" s="8"/>
    </row>
    <row r="3" spans="2:13" ht="15.75" customHeight="1">
      <c r="B3" s="10" t="s">
        <v>6</v>
      </c>
      <c r="C3" s="9"/>
    </row>
    <row r="4" spans="2:13" ht="27" customHeight="1">
      <c r="B4" s="5"/>
      <c r="C4" s="3"/>
      <c r="D4" s="3"/>
      <c r="E4" s="3"/>
      <c r="F4" s="3"/>
      <c r="G4" s="3"/>
      <c r="H4" s="3"/>
      <c r="I4" s="5"/>
      <c r="J4" s="2"/>
    </row>
    <row r="5" spans="2:13" ht="20" customHeight="1">
      <c r="B5" s="2"/>
      <c r="C5" s="136"/>
      <c r="D5" s="2"/>
      <c r="E5" s="2"/>
      <c r="F5" s="2"/>
      <c r="G5" s="2"/>
      <c r="H5" s="2"/>
      <c r="I5" s="5"/>
      <c r="J5" s="125"/>
    </row>
    <row r="6" spans="2:13" ht="17" customHeight="1">
      <c r="B6" s="5"/>
      <c r="C6" s="3"/>
      <c r="D6" s="3"/>
      <c r="G6" s="11"/>
      <c r="H6" s="2"/>
      <c r="I6" s="5"/>
      <c r="J6" s="2"/>
    </row>
    <row r="7" spans="2:13" ht="18" customHeight="1">
      <c r="B7" s="5"/>
      <c r="C7" s="3"/>
      <c r="D7" s="2"/>
      <c r="E7" s="2"/>
      <c r="F7" s="3"/>
      <c r="H7" s="2"/>
      <c r="I7" s="5"/>
      <c r="J7" s="2"/>
    </row>
    <row r="8" spans="2:13" ht="14" customHeight="1">
      <c r="B8" s="4"/>
      <c r="C8" s="2"/>
      <c r="D8" s="2"/>
      <c r="E8" s="2"/>
      <c r="F8" s="2"/>
      <c r="H8" s="2"/>
      <c r="I8" s="1"/>
      <c r="L8" s="5"/>
      <c r="M8" s="5"/>
    </row>
    <row r="9" spans="2:13" ht="21">
      <c r="B9" s="10"/>
      <c r="C9" s="9"/>
      <c r="H9" s="2"/>
      <c r="J9" s="123"/>
    </row>
    <row r="10" spans="2:13" ht="15">
      <c r="B10" s="5"/>
      <c r="C10" s="57" t="s">
        <v>310</v>
      </c>
      <c r="D10" s="2"/>
      <c r="E10" s="57" t="s">
        <v>311</v>
      </c>
      <c r="F10" s="3"/>
      <c r="G10" s="57" t="s">
        <v>312</v>
      </c>
      <c r="H10" s="2"/>
      <c r="I10" s="12"/>
      <c r="J10" s="5"/>
    </row>
    <row r="11" spans="2:13" ht="26" customHeight="1">
      <c r="B11" s="5"/>
      <c r="C11" s="58"/>
      <c r="D11" s="2"/>
      <c r="E11" s="58"/>
      <c r="F11" s="2"/>
      <c r="G11" s="59"/>
      <c r="H11" s="2"/>
      <c r="I11" s="1"/>
      <c r="L11" s="5"/>
      <c r="M11" s="5"/>
    </row>
    <row r="12" spans="2:13" ht="20" customHeight="1">
      <c r="B12" s="5"/>
      <c r="C12" s="2"/>
      <c r="D12" s="2"/>
      <c r="E12" s="2"/>
      <c r="F12" s="2"/>
      <c r="G12" s="2"/>
      <c r="H12" s="2"/>
      <c r="I12" s="5"/>
      <c r="J12" s="5"/>
      <c r="L12" s="5"/>
      <c r="M12" s="5"/>
    </row>
    <row r="13" spans="2:13" ht="19" customHeight="1">
      <c r="B13" s="5"/>
      <c r="C13" s="2"/>
      <c r="D13" s="2"/>
      <c r="E13" s="2"/>
      <c r="F13" s="2"/>
      <c r="G13" s="2"/>
      <c r="H13" s="2"/>
      <c r="I13" s="5"/>
      <c r="J13" s="5"/>
    </row>
    <row r="14" spans="2:13" ht="15">
      <c r="B14" s="4"/>
      <c r="C14" s="4"/>
      <c r="D14" s="1"/>
      <c r="E14" s="1"/>
      <c r="F14" s="1"/>
      <c r="G14" s="1"/>
      <c r="H14" s="2"/>
      <c r="I14" s="1"/>
      <c r="L14" s="5"/>
      <c r="M14" s="5"/>
    </row>
    <row r="15" spans="2:13" ht="15">
      <c r="B15" s="4"/>
      <c r="C15" s="4"/>
      <c r="D15" s="1"/>
      <c r="E15" s="1"/>
      <c r="F15" s="1"/>
      <c r="G15" s="1"/>
      <c r="H15" s="2"/>
      <c r="I15" s="1"/>
      <c r="L15" s="5"/>
      <c r="M15" s="5"/>
    </row>
    <row r="16" spans="2:13" ht="15">
      <c r="B16" s="4"/>
      <c r="C16" s="4"/>
      <c r="D16" s="1"/>
      <c r="E16" s="1"/>
      <c r="F16" s="1"/>
      <c r="G16" s="1"/>
      <c r="H16" s="2"/>
      <c r="I16" s="1"/>
      <c r="L16" s="5"/>
      <c r="M16" s="5"/>
    </row>
    <row r="17" spans="2:13" ht="15">
      <c r="B17" s="4"/>
      <c r="C17" s="4"/>
      <c r="D17" s="1"/>
      <c r="E17" s="1"/>
      <c r="F17" s="1"/>
      <c r="G17" s="1"/>
      <c r="H17" s="2"/>
      <c r="I17" s="1"/>
      <c r="L17" s="5"/>
      <c r="M17" s="5"/>
    </row>
    <row r="18" spans="2:13" ht="13">
      <c r="B18" s="4"/>
      <c r="C18" s="4"/>
      <c r="D18" s="1"/>
      <c r="E18" s="1"/>
      <c r="F18" s="1"/>
      <c r="G18" s="1"/>
      <c r="H18" s="1"/>
      <c r="I18" s="1"/>
      <c r="L18" s="5"/>
      <c r="M18" s="5"/>
    </row>
    <row r="19" spans="2:13" ht="13">
      <c r="B19" s="4"/>
      <c r="C19" s="4"/>
      <c r="D19" s="1"/>
      <c r="E19" s="1"/>
      <c r="F19" s="1"/>
      <c r="G19" s="1"/>
      <c r="H19" s="1"/>
      <c r="I19" s="1"/>
      <c r="L19" s="5"/>
      <c r="M19" s="5"/>
    </row>
    <row r="20" spans="2:13" ht="13">
      <c r="B20" s="4"/>
      <c r="C20" s="4"/>
      <c r="D20" s="1"/>
      <c r="E20" s="1"/>
      <c r="F20" s="1"/>
      <c r="G20" s="1"/>
      <c r="H20" s="1"/>
      <c r="I20" s="1"/>
      <c r="L20" s="5"/>
      <c r="M20" s="5"/>
    </row>
    <row r="21" spans="2:13" ht="13">
      <c r="B21" s="4"/>
      <c r="C21" s="4"/>
      <c r="D21" s="1"/>
      <c r="E21" s="1"/>
      <c r="F21" s="1"/>
      <c r="G21" s="1"/>
      <c r="H21" s="1"/>
      <c r="I21" s="1"/>
      <c r="L21" s="5"/>
      <c r="M21" s="5"/>
    </row>
    <row r="22" spans="2:13" ht="13">
      <c r="B22" s="4"/>
      <c r="C22" s="4"/>
      <c r="D22" s="1"/>
      <c r="E22" s="1"/>
      <c r="F22" s="1"/>
      <c r="G22" s="1"/>
      <c r="H22" s="1"/>
      <c r="I22" s="1"/>
      <c r="L22" s="5"/>
      <c r="M22" s="5"/>
    </row>
    <row r="23" spans="2:13" ht="15.75" customHeight="1">
      <c r="B23" s="10" t="s">
        <v>233</v>
      </c>
      <c r="C23" s="9"/>
    </row>
    <row r="24" spans="2:13" ht="15.75" customHeight="1">
      <c r="B24" s="10"/>
      <c r="C24" s="9"/>
    </row>
    <row r="25" spans="2:13" ht="15.75" customHeight="1">
      <c r="B25" s="10"/>
      <c r="C25" s="9"/>
    </row>
    <row r="26" spans="2:13" ht="15.75" customHeight="1">
      <c r="B26" s="10"/>
      <c r="C26" s="9"/>
    </row>
    <row r="27" spans="2:13" ht="15.75" customHeight="1">
      <c r="B27" s="10"/>
      <c r="C27" s="9"/>
    </row>
    <row r="28" spans="2:13" ht="15.75" customHeight="1">
      <c r="B28" s="10"/>
      <c r="C28" s="9"/>
    </row>
    <row r="29" spans="2:13" ht="74" customHeight="1" thickBot="1">
      <c r="B29" s="4"/>
      <c r="C29" s="4"/>
      <c r="D29" s="1"/>
      <c r="E29" s="1"/>
      <c r="F29" s="1"/>
      <c r="G29" s="1"/>
      <c r="H29" s="1"/>
      <c r="I29" s="1"/>
      <c r="L29" s="5"/>
      <c r="M29" s="5"/>
    </row>
    <row r="30" spans="2:13" ht="65" customHeight="1" thickBot="1">
      <c r="B30" s="23" t="s">
        <v>319</v>
      </c>
      <c r="C30" s="158" t="s">
        <v>323</v>
      </c>
      <c r="D30" s="159"/>
      <c r="E30" s="22" t="s">
        <v>322</v>
      </c>
      <c r="F30" s="2"/>
      <c r="G30" s="1"/>
      <c r="H30" s="1"/>
      <c r="I30" s="1"/>
      <c r="L30" s="5"/>
      <c r="M30" s="5"/>
    </row>
    <row r="31" spans="2:13" ht="44" customHeight="1" thickBot="1">
      <c r="B31" s="24" t="s">
        <v>86</v>
      </c>
      <c r="C31" s="174" t="s">
        <v>576</v>
      </c>
      <c r="D31" s="175"/>
      <c r="E31" s="19" t="s">
        <v>5</v>
      </c>
      <c r="F31" s="1"/>
      <c r="G31" s="1"/>
      <c r="H31" s="1"/>
      <c r="I31" s="1"/>
      <c r="L31" s="5"/>
      <c r="M31" s="5"/>
    </row>
    <row r="32" spans="2:13" ht="38" customHeight="1" thickBot="1">
      <c r="B32" s="25" t="s">
        <v>142</v>
      </c>
      <c r="C32" s="176"/>
      <c r="D32" s="177"/>
      <c r="E32" s="19" t="s">
        <v>5</v>
      </c>
      <c r="J32" s="5"/>
      <c r="L32" s="5"/>
      <c r="M32" s="5"/>
    </row>
    <row r="33" spans="2:13" ht="42" customHeight="1" thickBot="1">
      <c r="B33" s="26" t="s">
        <v>176</v>
      </c>
      <c r="C33" s="176"/>
      <c r="D33" s="177"/>
      <c r="E33" s="19" t="s">
        <v>5</v>
      </c>
      <c r="J33" s="5"/>
      <c r="L33" s="5"/>
      <c r="M33" s="5"/>
    </row>
    <row r="34" spans="2:13" ht="33" customHeight="1">
      <c r="B34" s="27" t="s">
        <v>205</v>
      </c>
      <c r="C34" s="160"/>
      <c r="D34" s="178"/>
      <c r="E34" s="19" t="s">
        <v>5</v>
      </c>
      <c r="J34" s="5"/>
      <c r="L34" s="5"/>
      <c r="M34" s="5"/>
    </row>
    <row r="35" spans="2:13" ht="13">
      <c r="B35" s="4"/>
      <c r="C35" s="4"/>
      <c r="J35" s="5"/>
      <c r="L35" s="5"/>
      <c r="M35" s="5"/>
    </row>
    <row r="36" spans="2:13" ht="13">
      <c r="B36" s="4"/>
      <c r="C36" s="4"/>
      <c r="J36" s="5"/>
      <c r="L36" s="5"/>
      <c r="M36" s="5"/>
    </row>
    <row r="37" spans="2:13" ht="17" thickBot="1">
      <c r="B37" s="18" t="s">
        <v>1</v>
      </c>
      <c r="C37" s="4"/>
      <c r="J37" s="5"/>
      <c r="L37" s="5"/>
      <c r="M37" s="5"/>
    </row>
    <row r="38" spans="2:13" ht="22" customHeight="1">
      <c r="B38" s="19" t="s">
        <v>5</v>
      </c>
      <c r="C38" s="4"/>
      <c r="J38" s="5"/>
      <c r="L38" s="5"/>
      <c r="M38" s="5"/>
    </row>
    <row r="39" spans="2:13" ht="26" customHeight="1">
      <c r="B39" s="20" t="s">
        <v>315</v>
      </c>
      <c r="C39" s="4"/>
      <c r="J39" s="5"/>
      <c r="L39" s="5"/>
      <c r="M39" s="5"/>
    </row>
    <row r="40" spans="2:13" ht="33" customHeight="1">
      <c r="B40" s="28" t="s">
        <v>314</v>
      </c>
      <c r="C40" s="4"/>
      <c r="J40" s="5"/>
      <c r="L40" s="5"/>
      <c r="M40" s="5"/>
    </row>
    <row r="41" spans="2:13" ht="32" customHeight="1" thickBot="1">
      <c r="B41" s="21" t="s">
        <v>313</v>
      </c>
      <c r="C41" s="4"/>
      <c r="J41" s="5"/>
      <c r="L41" s="5"/>
      <c r="M41" s="5"/>
    </row>
    <row r="42" spans="2:13" ht="24" customHeight="1">
      <c r="B42" s="10"/>
      <c r="J42" s="5"/>
      <c r="L42" s="5"/>
      <c r="M42" s="5"/>
    </row>
    <row r="43" spans="2:13" ht="24" customHeight="1">
      <c r="B43" s="10"/>
      <c r="J43" s="5"/>
      <c r="L43" s="5"/>
      <c r="M43" s="5"/>
    </row>
    <row r="44" spans="2:13" ht="24" customHeight="1">
      <c r="B44" s="10" t="s">
        <v>294</v>
      </c>
      <c r="J44" s="5"/>
      <c r="L44" s="5"/>
      <c r="M44" s="5"/>
    </row>
    <row r="45" spans="2:13" ht="13">
      <c r="J45" s="5"/>
      <c r="L45" s="5"/>
      <c r="M45" s="5"/>
    </row>
    <row r="46" spans="2:13" ht="10" customHeight="1">
      <c r="D46" s="5"/>
      <c r="F46" s="2"/>
      <c r="J46" s="5"/>
    </row>
    <row r="47" spans="2:13" ht="25" customHeight="1">
      <c r="D47" s="5"/>
      <c r="F47" s="2"/>
      <c r="L47" s="5"/>
      <c r="M47" s="5"/>
    </row>
    <row r="48" spans="2:13" ht="25" customHeight="1">
      <c r="D48" s="5"/>
      <c r="E48" s="12"/>
      <c r="F48" s="2"/>
      <c r="L48" s="5"/>
      <c r="M48" s="5"/>
    </row>
    <row r="49" spans="2:13" ht="25" customHeight="1">
      <c r="B49" s="3"/>
      <c r="D49" s="5"/>
      <c r="E49" s="12"/>
      <c r="F49" s="2"/>
      <c r="L49" s="5"/>
      <c r="M49" s="5"/>
    </row>
    <row r="50" spans="2:13" ht="19" customHeight="1">
      <c r="B50" s="2"/>
      <c r="D50" s="5"/>
      <c r="E50" s="12"/>
      <c r="F50" s="2"/>
      <c r="L50" s="5"/>
      <c r="M50" s="5"/>
    </row>
    <row r="51" spans="2:13" ht="19" customHeight="1">
      <c r="D51" s="5"/>
      <c r="E51" s="12"/>
      <c r="F51" s="2"/>
      <c r="L51" s="5"/>
      <c r="M51" s="5"/>
    </row>
    <row r="52" spans="2:13" ht="19" customHeight="1">
      <c r="B52" s="3"/>
      <c r="D52" s="5"/>
      <c r="E52" s="12"/>
      <c r="F52" s="2"/>
      <c r="L52" s="5"/>
      <c r="M52" s="5"/>
    </row>
    <row r="53" spans="2:13" ht="21" customHeight="1">
      <c r="B53" s="12"/>
      <c r="D53" s="5"/>
      <c r="F53" s="2"/>
      <c r="J53" s="5"/>
      <c r="L53" s="5"/>
      <c r="M53" s="5"/>
    </row>
    <row r="54" spans="2:13" ht="15">
      <c r="D54" s="5"/>
      <c r="E54" s="3"/>
      <c r="F54" s="2"/>
      <c r="J54" s="5"/>
      <c r="L54" s="5"/>
      <c r="M54" s="5"/>
    </row>
    <row r="55" spans="2:13" ht="22" customHeight="1">
      <c r="B55" s="91" t="s">
        <v>320</v>
      </c>
      <c r="D55" s="5"/>
      <c r="E55" s="2"/>
      <c r="F55" s="2"/>
      <c r="J55" s="5"/>
    </row>
    <row r="56" spans="2:13" ht="31" customHeight="1">
      <c r="B56" s="161" t="e">
        <f>IF('BIM Guidelines'!X35=20,"ISO 19650-1 ", "None")</f>
        <v>#N/A</v>
      </c>
      <c r="C56" s="162"/>
      <c r="D56" s="1"/>
      <c r="E56" s="2"/>
      <c r="F56" s="1"/>
    </row>
    <row r="57" spans="2:13" ht="15" customHeight="1">
      <c r="B57" s="5"/>
      <c r="D57" s="1"/>
      <c r="E57" s="2"/>
      <c r="F57" s="1"/>
    </row>
    <row r="58" spans="2:13" ht="10" customHeight="1">
      <c r="B58" s="5"/>
      <c r="C58" s="12"/>
      <c r="D58" s="5"/>
      <c r="E58" s="2"/>
      <c r="L58" s="5"/>
      <c r="M58" s="5"/>
    </row>
    <row r="59" spans="2:13" ht="24" customHeight="1">
      <c r="B59" s="3"/>
      <c r="D59" s="5"/>
      <c r="E59" s="2"/>
      <c r="J59" s="5"/>
      <c r="L59" s="5"/>
      <c r="M59" s="5"/>
    </row>
    <row r="60" spans="2:13" ht="24" customHeight="1">
      <c r="B60" s="12"/>
      <c r="D60" s="5"/>
      <c r="E60" s="12"/>
      <c r="J60" s="5"/>
      <c r="L60" s="5"/>
      <c r="M60" s="5"/>
    </row>
    <row r="61" spans="2:13" ht="24" customHeight="1" thickBot="1">
      <c r="B61" s="5"/>
      <c r="C61" s="4"/>
      <c r="J61" s="5"/>
      <c r="L61" s="5"/>
      <c r="M61" s="5"/>
    </row>
    <row r="62" spans="2:13" ht="24" customHeight="1">
      <c r="B62" s="92" t="s">
        <v>309</v>
      </c>
      <c r="C62" s="93"/>
      <c r="D62" s="93"/>
      <c r="E62" s="94"/>
      <c r="F62" s="95"/>
      <c r="J62" s="5"/>
      <c r="L62" s="5"/>
      <c r="M62" s="5"/>
    </row>
    <row r="63" spans="2:13" ht="24" customHeight="1">
      <c r="B63" s="96" t="s">
        <v>298</v>
      </c>
      <c r="C63" s="7" t="s">
        <v>3</v>
      </c>
      <c r="D63" s="29" t="s">
        <v>2</v>
      </c>
      <c r="E63" s="134" t="s">
        <v>4</v>
      </c>
      <c r="F63" s="135"/>
      <c r="J63" s="5"/>
      <c r="L63" s="5"/>
      <c r="M63" s="5"/>
    </row>
    <row r="64" spans="2:13" ht="24" customHeight="1">
      <c r="B64" s="97" t="s">
        <v>299</v>
      </c>
      <c r="C64" s="6">
        <v>1.29</v>
      </c>
      <c r="D64" s="13" t="e">
        <f>(C64-(('BIM Guidelines'!X5/225)*(C64)))/C64</f>
        <v>#N/A</v>
      </c>
      <c r="E64" s="163"/>
      <c r="F64" s="163"/>
      <c r="J64" s="5"/>
      <c r="L64" s="5"/>
      <c r="M64" s="5"/>
    </row>
    <row r="65" spans="1:13" ht="24" customHeight="1">
      <c r="B65" s="97" t="s">
        <v>300</v>
      </c>
      <c r="C65" s="6">
        <v>1.02</v>
      </c>
      <c r="D65" s="13" t="e">
        <f>(C65-(('BIM Guidelines'!X20/105)*(C65)))/C65</f>
        <v>#N/A</v>
      </c>
      <c r="E65" s="163"/>
      <c r="F65" s="163"/>
      <c r="J65" s="5"/>
      <c r="L65" s="5"/>
      <c r="M65" s="5"/>
    </row>
    <row r="66" spans="1:13" ht="24" customHeight="1">
      <c r="B66" s="97" t="s">
        <v>301</v>
      </c>
      <c r="C66" s="6">
        <v>1.1599999999999999</v>
      </c>
      <c r="D66" s="13" t="e">
        <f>(C66-(('BIM Guidelines'!X31/15)*(C66)))/C66</f>
        <v>#N/A</v>
      </c>
      <c r="E66" s="163"/>
      <c r="F66" s="163"/>
      <c r="J66" s="5"/>
      <c r="L66" s="5"/>
      <c r="M66" s="5"/>
    </row>
    <row r="67" spans="1:13" ht="24" customHeight="1">
      <c r="B67" s="97" t="s">
        <v>302</v>
      </c>
      <c r="C67" s="6">
        <v>1.0900000000000001</v>
      </c>
      <c r="D67" s="13" t="e">
        <f>(C67-(('BIM Guidelines'!X33/15)*(C67)))/C67</f>
        <v>#N/A</v>
      </c>
      <c r="E67" s="163"/>
      <c r="F67" s="163"/>
      <c r="J67" s="5"/>
      <c r="L67" s="5"/>
      <c r="M67" s="5"/>
    </row>
    <row r="68" spans="1:13" ht="24" customHeight="1">
      <c r="B68" s="97" t="s">
        <v>303</v>
      </c>
      <c r="C68" s="6">
        <v>0.87</v>
      </c>
      <c r="D68" s="13" t="e">
        <f>(C68-(('BIM Guidelines'!X35/20)*(C68)))/C68</f>
        <v>#N/A</v>
      </c>
      <c r="E68" s="163"/>
      <c r="F68" s="163"/>
      <c r="J68" s="5"/>
      <c r="L68" s="5"/>
      <c r="M68" s="5"/>
    </row>
    <row r="69" spans="1:13" ht="28">
      <c r="B69" s="97" t="s">
        <v>304</v>
      </c>
      <c r="C69" s="6">
        <v>1.07</v>
      </c>
      <c r="D69" s="13" t="e">
        <f>(C69-(('BIM Guidelines'!X40/25)*(C69)))/C69</f>
        <v>#N/A</v>
      </c>
      <c r="E69" s="163"/>
      <c r="F69" s="163"/>
      <c r="J69" s="5"/>
      <c r="L69" s="5"/>
      <c r="M69" s="5"/>
    </row>
    <row r="70" spans="1:13" ht="26" customHeight="1">
      <c r="B70" s="97" t="s">
        <v>305</v>
      </c>
      <c r="C70" s="6">
        <v>1.1000000000000001</v>
      </c>
      <c r="D70" s="13" t="e">
        <f>(C70-(('BIM Guidelines'!X42/25)*(C70)))/C70</f>
        <v>#N/A</v>
      </c>
      <c r="E70" s="163"/>
      <c r="F70" s="163"/>
      <c r="J70" s="5"/>
      <c r="L70" s="5"/>
      <c r="M70" s="5"/>
    </row>
    <row r="71" spans="1:13" ht="24" customHeight="1">
      <c r="B71" s="97" t="s">
        <v>306</v>
      </c>
      <c r="C71" s="6">
        <v>0.43</v>
      </c>
      <c r="D71" s="13" t="e">
        <f>(C71-(('BIM Guidelines'!X44/25)*(C71)))/C71</f>
        <v>#N/A</v>
      </c>
      <c r="E71" s="163"/>
      <c r="F71" s="163"/>
      <c r="J71" s="5"/>
      <c r="L71" s="5"/>
      <c r="M71" s="5"/>
    </row>
    <row r="72" spans="1:13" ht="28">
      <c r="B72" s="97" t="s">
        <v>307</v>
      </c>
      <c r="C72" s="6">
        <v>1</v>
      </c>
      <c r="D72" s="13" t="e">
        <f>(C72-(('BIM Guidelines'!X46/25)*(C72)))/C72</f>
        <v>#N/A</v>
      </c>
      <c r="E72" s="163"/>
      <c r="F72" s="163"/>
      <c r="J72" s="5"/>
      <c r="L72" s="5"/>
      <c r="M72" s="5"/>
    </row>
    <row r="73" spans="1:13" ht="27" customHeight="1" thickBot="1">
      <c r="A73" s="2"/>
      <c r="B73" s="98" t="s">
        <v>308</v>
      </c>
      <c r="C73" s="99">
        <v>0.97</v>
      </c>
      <c r="D73" s="100" t="e">
        <f>(C73-(('BIM Guidelines'!X48/25)*(C73)))/C73</f>
        <v>#N/A</v>
      </c>
      <c r="E73" s="163"/>
      <c r="F73" s="163"/>
      <c r="G73" s="2"/>
      <c r="H73" s="2"/>
      <c r="I73" s="2"/>
      <c r="J73" s="5"/>
    </row>
    <row r="74" spans="1:13" ht="28" customHeight="1">
      <c r="A74" s="2"/>
      <c r="C74">
        <f>SUM(C64:C73)</f>
        <v>10</v>
      </c>
      <c r="G74" s="2"/>
      <c r="H74" s="2"/>
      <c r="I74" s="2"/>
      <c r="L74" s="5"/>
      <c r="M74" s="5"/>
    </row>
    <row r="75" spans="1:13" ht="50" customHeight="1">
      <c r="A75" s="2"/>
      <c r="B75" s="10" t="s">
        <v>321</v>
      </c>
      <c r="C75" s="2"/>
      <c r="D75" s="2"/>
      <c r="E75" s="2"/>
      <c r="G75" s="2"/>
      <c r="H75" s="2"/>
      <c r="I75" s="2"/>
      <c r="J75" s="5"/>
      <c r="L75" s="5"/>
      <c r="M75" s="5"/>
    </row>
    <row r="76" spans="1:13" ht="50" customHeight="1">
      <c r="A76" s="2"/>
      <c r="B76" s="2"/>
      <c r="C76" s="2"/>
      <c r="D76" s="2"/>
      <c r="E76" s="2"/>
      <c r="F76" s="2"/>
      <c r="G76" s="2"/>
      <c r="H76" s="2"/>
      <c r="I76" s="2"/>
      <c r="J76" s="5"/>
      <c r="L76" s="5"/>
      <c r="M76" s="5"/>
    </row>
    <row r="77" spans="1:13" ht="15">
      <c r="A77" s="2"/>
      <c r="B77" s="2"/>
      <c r="C77" s="2"/>
      <c r="D77" s="2"/>
      <c r="E77" s="2"/>
      <c r="F77" s="2"/>
      <c r="G77" s="2"/>
      <c r="H77" s="2"/>
      <c r="I77" s="2"/>
      <c r="J77" s="5"/>
      <c r="L77" s="5"/>
      <c r="M77" s="5"/>
    </row>
    <row r="78" spans="1:13" ht="15">
      <c r="A78" s="2"/>
      <c r="B78" s="2"/>
      <c r="C78" s="2"/>
      <c r="D78" s="2"/>
      <c r="E78" s="2"/>
      <c r="F78" s="2"/>
      <c r="G78" s="2"/>
      <c r="H78" s="2"/>
      <c r="I78" s="2"/>
      <c r="J78" s="5"/>
      <c r="L78" s="5"/>
      <c r="M78" s="5"/>
    </row>
    <row r="79" spans="1:13" ht="15">
      <c r="A79" s="2"/>
      <c r="B79" s="2"/>
      <c r="C79" s="2"/>
      <c r="D79" s="2"/>
      <c r="E79" s="2"/>
      <c r="F79" s="2"/>
      <c r="G79" s="2"/>
      <c r="H79" s="2"/>
      <c r="I79" s="2"/>
      <c r="J79" s="5"/>
      <c r="L79" s="5"/>
      <c r="M79" s="5"/>
    </row>
    <row r="80" spans="1:13" ht="15">
      <c r="A80" s="2"/>
      <c r="B80" s="2"/>
      <c r="C80" s="2"/>
      <c r="D80" s="2"/>
      <c r="E80" s="2"/>
      <c r="F80" s="2"/>
      <c r="G80" s="2"/>
      <c r="H80" s="2"/>
      <c r="I80" s="2"/>
      <c r="J80" s="5"/>
      <c r="L80" s="5"/>
      <c r="M80" s="5"/>
    </row>
    <row r="81" spans="1:13" ht="15">
      <c r="A81" s="2"/>
      <c r="B81" s="2"/>
      <c r="C81" s="2"/>
      <c r="D81" s="2"/>
      <c r="E81" s="2"/>
      <c r="F81" s="2"/>
      <c r="G81" s="2"/>
      <c r="H81" s="2"/>
      <c r="I81" s="2"/>
      <c r="J81" s="5"/>
      <c r="L81" s="5"/>
      <c r="M81" s="5"/>
    </row>
    <row r="82" spans="1:13" ht="15">
      <c r="A82" s="2"/>
      <c r="B82" s="2"/>
      <c r="C82" s="2"/>
      <c r="D82" s="2"/>
      <c r="E82" s="2"/>
      <c r="F82" s="2"/>
      <c r="G82" s="2"/>
      <c r="H82" s="2"/>
      <c r="I82" s="2"/>
      <c r="J82" s="5"/>
      <c r="L82" s="5"/>
      <c r="M82" s="5"/>
    </row>
    <row r="83" spans="1:13" ht="15">
      <c r="A83" s="2"/>
      <c r="B83" s="2"/>
      <c r="C83" s="2"/>
      <c r="D83" s="2"/>
      <c r="E83" s="2"/>
      <c r="F83" s="2"/>
      <c r="G83" s="2"/>
      <c r="H83" s="2"/>
      <c r="I83" s="2"/>
      <c r="J83" s="5"/>
      <c r="L83" s="5"/>
      <c r="M83" s="5"/>
    </row>
    <row r="84" spans="1:13" ht="15">
      <c r="A84" s="2"/>
      <c r="B84" s="2"/>
      <c r="C84" s="2"/>
      <c r="D84" s="2"/>
      <c r="E84" s="2"/>
      <c r="F84" s="2"/>
      <c r="G84" s="2"/>
      <c r="H84" s="2"/>
      <c r="I84" s="2"/>
      <c r="J84" s="5"/>
      <c r="L84" s="5"/>
      <c r="M84" s="5"/>
    </row>
    <row r="85" spans="1:13" ht="15">
      <c r="A85" s="2"/>
      <c r="B85" s="2"/>
      <c r="C85" s="2"/>
      <c r="D85" s="2"/>
      <c r="E85" s="2"/>
      <c r="F85" s="2"/>
      <c r="G85" s="2"/>
      <c r="H85" s="2"/>
      <c r="I85" s="2"/>
      <c r="J85" s="5"/>
      <c r="L85" s="5"/>
      <c r="M85" s="5"/>
    </row>
    <row r="86" spans="1:13" ht="15">
      <c r="A86" s="2"/>
      <c r="B86" s="2"/>
      <c r="C86" s="2"/>
      <c r="D86" s="2"/>
      <c r="E86" s="2"/>
      <c r="F86" s="2"/>
      <c r="G86" s="2"/>
      <c r="H86" s="2"/>
      <c r="I86" s="2"/>
      <c r="J86" s="5"/>
      <c r="L86" s="5"/>
      <c r="M86" s="5"/>
    </row>
    <row r="87" spans="1:13" ht="15">
      <c r="B87" s="2"/>
      <c r="C87" s="2"/>
      <c r="D87" s="2"/>
      <c r="E87" s="2"/>
      <c r="F87" s="2"/>
      <c r="G87" s="2"/>
      <c r="H87" s="2"/>
      <c r="I87" s="2"/>
      <c r="J87" s="1"/>
    </row>
    <row r="88" spans="1:13" ht="15">
      <c r="B88" s="2"/>
      <c r="C88" s="2"/>
      <c r="D88" s="2"/>
      <c r="E88" s="2"/>
      <c r="F88" s="2"/>
      <c r="G88" s="2"/>
      <c r="H88" s="2"/>
      <c r="I88" s="2"/>
      <c r="J88" s="1"/>
    </row>
    <row r="89" spans="1:13" ht="15">
      <c r="B89" s="2"/>
      <c r="C89" s="2"/>
      <c r="D89" s="2"/>
      <c r="E89" s="2"/>
      <c r="F89" s="2"/>
      <c r="G89" s="2"/>
      <c r="H89" s="2"/>
      <c r="I89" s="2"/>
      <c r="J89" s="1"/>
    </row>
    <row r="90" spans="1:13" ht="15">
      <c r="B90" s="2"/>
      <c r="C90" s="2"/>
      <c r="D90" s="2"/>
      <c r="E90" s="2"/>
      <c r="F90" s="2"/>
      <c r="G90" s="2"/>
      <c r="H90" s="2"/>
      <c r="I90" s="2"/>
      <c r="J90" s="1"/>
    </row>
    <row r="91" spans="1:13" ht="15">
      <c r="B91" s="2"/>
      <c r="C91" s="2"/>
      <c r="D91" s="2"/>
      <c r="E91" s="2"/>
      <c r="F91" s="2"/>
      <c r="G91" s="2"/>
      <c r="H91" s="2"/>
      <c r="I91" s="2"/>
      <c r="J91" s="1"/>
    </row>
    <row r="92" spans="1:13" ht="15">
      <c r="B92" s="2"/>
      <c r="C92" s="2"/>
      <c r="D92" s="2"/>
      <c r="E92" s="2"/>
      <c r="F92" s="2"/>
      <c r="G92" s="2"/>
      <c r="H92" s="2"/>
      <c r="I92" s="2"/>
      <c r="J92" s="1"/>
    </row>
    <row r="93" spans="1:13" ht="15">
      <c r="B93" s="2"/>
      <c r="C93" s="2"/>
      <c r="D93" s="2"/>
      <c r="E93" s="2"/>
      <c r="F93" s="2"/>
      <c r="G93" s="2"/>
      <c r="H93" s="2"/>
      <c r="I93" s="2"/>
      <c r="J93" s="1"/>
    </row>
    <row r="94" spans="1:13" ht="15">
      <c r="B94" s="2"/>
      <c r="C94" s="2"/>
      <c r="D94" s="2"/>
      <c r="E94" s="2"/>
      <c r="F94" s="2"/>
      <c r="G94" s="2"/>
      <c r="H94" s="2"/>
      <c r="I94" s="2"/>
      <c r="J94" s="1"/>
    </row>
    <row r="95" spans="1:13" ht="15">
      <c r="B95" s="2"/>
      <c r="C95" s="2"/>
      <c r="D95" s="2"/>
      <c r="E95" s="2"/>
      <c r="F95" s="2"/>
      <c r="G95" s="2"/>
      <c r="H95" s="2"/>
      <c r="I95" s="2"/>
      <c r="J95" s="1"/>
    </row>
    <row r="96" spans="1:13" ht="15">
      <c r="B96" s="1"/>
      <c r="C96" s="1"/>
      <c r="D96" s="1"/>
      <c r="E96" s="1"/>
      <c r="F96" s="1"/>
      <c r="G96" s="1"/>
      <c r="H96" s="1"/>
      <c r="I96" s="2"/>
      <c r="J96" s="1"/>
    </row>
    <row r="97" spans="1:13" ht="13">
      <c r="B97" s="1"/>
      <c r="C97" s="1"/>
      <c r="D97" s="1"/>
      <c r="E97" s="1"/>
      <c r="F97" s="1"/>
      <c r="G97" s="1"/>
      <c r="H97" s="1"/>
      <c r="I97" s="1"/>
      <c r="J97" s="1"/>
    </row>
    <row r="98" spans="1:13" ht="13">
      <c r="I98" s="1"/>
      <c r="J98" s="1"/>
    </row>
    <row r="99" spans="1:13" ht="21">
      <c r="A99" s="53"/>
      <c r="B99" s="54" t="s">
        <v>520</v>
      </c>
      <c r="C99" s="53"/>
      <c r="D99" s="53"/>
      <c r="E99" s="53"/>
      <c r="F99" s="53"/>
      <c r="G99" s="53"/>
      <c r="H99" s="53"/>
      <c r="I99" s="53"/>
      <c r="J99" s="55"/>
      <c r="K99" s="45"/>
      <c r="L99" s="55"/>
      <c r="M99" s="55"/>
    </row>
    <row r="100" spans="1:13" ht="21">
      <c r="A100" s="53"/>
      <c r="B100" s="54"/>
      <c r="C100" s="53"/>
      <c r="D100" s="53"/>
      <c r="E100" s="53"/>
      <c r="F100" s="53"/>
      <c r="G100" s="53"/>
      <c r="H100" s="53"/>
      <c r="I100" s="53"/>
      <c r="J100" s="55"/>
      <c r="K100" s="45"/>
      <c r="L100" s="55"/>
      <c r="M100" s="55"/>
    </row>
    <row r="101" spans="1:13" ht="13">
      <c r="B101" s="157" t="s">
        <v>0</v>
      </c>
      <c r="C101" s="157"/>
      <c r="D101" s="157"/>
      <c r="E101" s="157"/>
      <c r="F101" s="157"/>
      <c r="G101" s="1"/>
      <c r="H101" s="1"/>
      <c r="I101" s="1"/>
      <c r="J101" s="1"/>
    </row>
    <row r="102" spans="1:13" ht="13">
      <c r="B102" s="157"/>
      <c r="C102" s="157"/>
      <c r="D102" s="157"/>
      <c r="E102" s="157"/>
      <c r="F102" s="157"/>
      <c r="G102" s="1"/>
      <c r="H102" s="1"/>
      <c r="I102" s="1"/>
      <c r="J102" s="1"/>
    </row>
    <row r="103" spans="1:13" ht="13">
      <c r="B103" s="156"/>
      <c r="C103" s="156"/>
      <c r="D103" s="156"/>
      <c r="E103" s="156"/>
      <c r="F103" s="156"/>
      <c r="G103" s="1"/>
      <c r="H103" s="1"/>
      <c r="I103" s="1"/>
      <c r="J103" s="1"/>
    </row>
    <row r="104" spans="1:13" ht="13">
      <c r="B104" s="156"/>
      <c r="C104" s="156"/>
      <c r="D104" s="156"/>
      <c r="E104" s="156"/>
      <c r="F104" s="156"/>
      <c r="G104" s="1"/>
      <c r="H104" s="1"/>
      <c r="I104" s="1"/>
      <c r="J104" s="1"/>
    </row>
    <row r="105" spans="1:13" ht="13">
      <c r="B105" s="156"/>
      <c r="C105" s="156"/>
      <c r="D105" s="156"/>
      <c r="E105" s="156"/>
      <c r="F105" s="156"/>
      <c r="G105" s="1"/>
      <c r="H105" s="1"/>
      <c r="I105" s="1"/>
      <c r="J105" s="1"/>
    </row>
    <row r="106" spans="1:13" ht="13">
      <c r="B106" s="156"/>
      <c r="C106" s="156"/>
      <c r="D106" s="156"/>
      <c r="E106" s="156"/>
      <c r="F106" s="156"/>
      <c r="G106" s="1"/>
      <c r="H106" s="1"/>
      <c r="I106" s="1"/>
      <c r="J106" s="1"/>
    </row>
    <row r="107" spans="1:13" ht="13">
      <c r="B107" s="156"/>
      <c r="C107" s="156"/>
      <c r="D107" s="156"/>
      <c r="E107" s="156"/>
      <c r="F107" s="156"/>
      <c r="G107" s="1"/>
      <c r="H107" s="1"/>
      <c r="I107" s="1"/>
      <c r="J107" s="1"/>
    </row>
    <row r="108" spans="1:13" ht="13">
      <c r="B108" s="156"/>
      <c r="C108" s="156"/>
      <c r="D108" s="156"/>
      <c r="E108" s="156"/>
      <c r="F108" s="156"/>
      <c r="G108" s="1"/>
      <c r="H108" s="1"/>
      <c r="I108" s="1"/>
      <c r="J108" s="1"/>
    </row>
    <row r="109" spans="1:13" ht="13">
      <c r="B109" s="156"/>
      <c r="C109" s="156"/>
      <c r="D109" s="156"/>
      <c r="E109" s="156"/>
      <c r="F109" s="156"/>
      <c r="G109" s="1"/>
      <c r="H109" s="1"/>
      <c r="I109" s="1"/>
      <c r="J109" s="1"/>
    </row>
    <row r="110" spans="1:13" ht="13">
      <c r="B110" s="156"/>
      <c r="C110" s="156"/>
      <c r="D110" s="156"/>
      <c r="E110" s="156"/>
      <c r="F110" s="156"/>
      <c r="G110" s="1"/>
      <c r="H110" s="1"/>
      <c r="I110" s="1"/>
      <c r="J110" s="1"/>
    </row>
    <row r="111" spans="1:13" ht="13">
      <c r="B111" s="1"/>
      <c r="C111" s="1"/>
      <c r="D111" s="1"/>
      <c r="E111" s="1"/>
      <c r="F111" s="1"/>
      <c r="G111" s="1"/>
      <c r="H111" s="1"/>
      <c r="I111" s="1"/>
      <c r="J111" s="1"/>
    </row>
    <row r="112" spans="1:13" ht="13">
      <c r="B112" s="1"/>
      <c r="C112" s="1"/>
      <c r="D112" s="1"/>
      <c r="E112" s="1"/>
      <c r="F112" s="1"/>
      <c r="G112" s="1"/>
      <c r="H112" s="1"/>
      <c r="I112" s="1"/>
      <c r="J112" s="1"/>
    </row>
    <row r="113" spans="2:10" ht="13">
      <c r="B113" s="1"/>
      <c r="C113" s="1"/>
      <c r="D113" s="1"/>
      <c r="E113" s="1"/>
      <c r="F113" s="1"/>
      <c r="G113" s="1"/>
      <c r="H113" s="1"/>
      <c r="I113" s="1"/>
      <c r="J113" s="1"/>
    </row>
    <row r="114" spans="2:10" ht="13">
      <c r="B114" s="1"/>
      <c r="C114" s="1"/>
      <c r="D114" s="1"/>
      <c r="E114" s="1"/>
      <c r="F114" s="1"/>
      <c r="G114" s="1"/>
      <c r="H114" s="1"/>
      <c r="I114" s="1"/>
      <c r="J114" s="1"/>
    </row>
    <row r="115" spans="2:10" ht="13">
      <c r="B115" s="1"/>
      <c r="C115" s="1"/>
      <c r="D115" s="1"/>
      <c r="E115" s="1"/>
      <c r="F115" s="1"/>
      <c r="G115" s="1"/>
      <c r="H115" s="1"/>
      <c r="I115" s="1"/>
      <c r="J115" s="1"/>
    </row>
    <row r="116" spans="2:10" ht="13">
      <c r="B116" s="1"/>
      <c r="C116" s="1"/>
      <c r="D116" s="1"/>
      <c r="E116" s="1"/>
      <c r="F116" s="1"/>
      <c r="G116" s="1"/>
      <c r="H116" s="1"/>
      <c r="I116" s="1"/>
      <c r="J116" s="1"/>
    </row>
    <row r="117" spans="2:10" ht="13">
      <c r="B117" s="1"/>
      <c r="C117" s="1"/>
      <c r="D117" s="1"/>
      <c r="E117" s="1"/>
      <c r="F117" s="1"/>
      <c r="G117" s="1"/>
      <c r="H117" s="1"/>
      <c r="I117" s="1"/>
      <c r="J117" s="1"/>
    </row>
    <row r="118" spans="2:10" ht="13">
      <c r="B118" s="1"/>
      <c r="C118" s="1"/>
      <c r="D118" s="1"/>
      <c r="E118" s="1"/>
      <c r="F118" s="1"/>
      <c r="G118" s="1"/>
      <c r="H118" s="1"/>
      <c r="I118" s="1"/>
      <c r="J118" s="1"/>
    </row>
    <row r="119" spans="2:10" ht="13">
      <c r="B119" s="1"/>
      <c r="C119" s="1"/>
      <c r="D119" s="1"/>
      <c r="E119" s="1"/>
      <c r="F119" s="1"/>
      <c r="G119" s="1"/>
      <c r="H119" s="1"/>
      <c r="I119" s="1"/>
      <c r="J119" s="1"/>
    </row>
    <row r="120" spans="2:10" ht="13">
      <c r="B120" s="1"/>
      <c r="C120" s="1"/>
      <c r="D120" s="1"/>
      <c r="E120" s="1"/>
      <c r="F120" s="1"/>
      <c r="G120" s="1"/>
      <c r="H120" s="1"/>
      <c r="I120" s="1"/>
      <c r="J120" s="1"/>
    </row>
    <row r="121" spans="2:10" ht="13">
      <c r="B121" s="1"/>
      <c r="C121" s="1"/>
      <c r="D121" s="1"/>
      <c r="E121" s="1"/>
      <c r="F121" s="1"/>
      <c r="G121" s="1"/>
      <c r="H121" s="1"/>
      <c r="I121" s="1"/>
      <c r="J121" s="1"/>
    </row>
    <row r="122" spans="2:10" ht="13">
      <c r="B122" s="1"/>
      <c r="C122" s="1"/>
      <c r="D122" s="1"/>
      <c r="E122" s="1"/>
      <c r="F122" s="1"/>
      <c r="G122" s="1"/>
      <c r="H122" s="1"/>
      <c r="I122" s="1"/>
      <c r="J122" s="1"/>
    </row>
    <row r="123" spans="2:10" ht="13">
      <c r="B123" s="1"/>
      <c r="C123" s="1"/>
      <c r="D123" s="1"/>
      <c r="E123" s="1"/>
      <c r="F123" s="1"/>
      <c r="G123" s="1"/>
      <c r="H123" s="1"/>
      <c r="I123" s="1"/>
      <c r="J123" s="1"/>
    </row>
    <row r="124" spans="2:10" ht="13">
      <c r="B124" s="1"/>
      <c r="C124" s="1"/>
      <c r="D124" s="1"/>
      <c r="E124" s="1"/>
      <c r="F124" s="1"/>
      <c r="G124" s="1"/>
      <c r="H124" s="1"/>
      <c r="I124" s="1"/>
      <c r="J124" s="1"/>
    </row>
    <row r="125" spans="2:10" ht="13">
      <c r="B125" s="1"/>
      <c r="C125" s="1"/>
      <c r="D125" s="1"/>
      <c r="E125" s="1"/>
      <c r="F125" s="1"/>
      <c r="G125" s="1"/>
      <c r="H125" s="1"/>
      <c r="I125" s="1"/>
      <c r="J125" s="1"/>
    </row>
    <row r="126" spans="2:10" ht="13">
      <c r="B126" s="1"/>
      <c r="C126" s="1"/>
      <c r="D126" s="1"/>
      <c r="E126" s="1"/>
      <c r="F126" s="1"/>
      <c r="G126" s="1"/>
      <c r="H126" s="1"/>
      <c r="I126" s="1"/>
      <c r="J126" s="1"/>
    </row>
    <row r="127" spans="2:10" ht="13">
      <c r="B127" s="1"/>
      <c r="C127" s="1"/>
      <c r="D127" s="1"/>
      <c r="E127" s="1"/>
      <c r="F127" s="1"/>
      <c r="G127" s="1"/>
      <c r="H127" s="1"/>
      <c r="I127" s="1"/>
      <c r="J127" s="1"/>
    </row>
    <row r="128" spans="2:10" ht="13">
      <c r="B128" s="1"/>
      <c r="C128" s="1"/>
      <c r="D128" s="1"/>
      <c r="E128" s="1"/>
      <c r="F128" s="1"/>
      <c r="G128" s="1"/>
      <c r="H128" s="1"/>
      <c r="I128" s="1"/>
      <c r="J128" s="1"/>
    </row>
    <row r="129" spans="2:10" ht="13">
      <c r="B129" s="1"/>
      <c r="C129" s="1"/>
      <c r="D129" s="1"/>
      <c r="E129" s="1"/>
      <c r="F129" s="1"/>
      <c r="G129" s="1"/>
      <c r="H129" s="1"/>
      <c r="I129" s="1"/>
      <c r="J129" s="1"/>
    </row>
    <row r="130" spans="2:10" ht="13">
      <c r="B130" s="1"/>
      <c r="C130" s="1"/>
      <c r="D130" s="1"/>
      <c r="E130" s="1"/>
      <c r="F130" s="1"/>
      <c r="G130" s="1"/>
      <c r="H130" s="1"/>
      <c r="I130" s="1"/>
      <c r="J130" s="1"/>
    </row>
    <row r="131" spans="2:10" ht="13">
      <c r="B131" s="1"/>
      <c r="C131" s="1"/>
      <c r="D131" s="1"/>
      <c r="E131" s="1"/>
      <c r="F131" s="1"/>
      <c r="G131" s="1"/>
      <c r="H131" s="1"/>
      <c r="I131" s="1"/>
      <c r="J131" s="1"/>
    </row>
    <row r="132" spans="2:10" ht="13">
      <c r="B132" s="1"/>
      <c r="C132" s="1"/>
      <c r="D132" s="1"/>
      <c r="E132" s="1"/>
      <c r="F132" s="1"/>
      <c r="G132" s="1"/>
      <c r="H132" s="1"/>
      <c r="I132" s="1"/>
      <c r="J132" s="1"/>
    </row>
    <row r="133" spans="2:10" ht="13">
      <c r="B133" s="1"/>
      <c r="C133" s="1"/>
      <c r="D133" s="1"/>
      <c r="E133" s="1"/>
      <c r="F133" s="1"/>
      <c r="G133" s="1"/>
      <c r="H133" s="1"/>
      <c r="I133" s="1"/>
      <c r="J133" s="1"/>
    </row>
    <row r="134" spans="2:10" ht="13">
      <c r="B134" s="1"/>
      <c r="C134" s="1"/>
      <c r="D134" s="1"/>
      <c r="E134" s="1"/>
      <c r="F134" s="1"/>
      <c r="G134" s="1"/>
      <c r="H134" s="1"/>
      <c r="I134" s="1"/>
      <c r="J134" s="1"/>
    </row>
    <row r="135" spans="2:10" ht="13">
      <c r="B135" s="1"/>
      <c r="C135" s="1"/>
      <c r="D135" s="1"/>
      <c r="E135" s="1"/>
      <c r="F135" s="1"/>
      <c r="G135" s="1"/>
      <c r="H135" s="1"/>
      <c r="I135" s="1"/>
      <c r="J135" s="1"/>
    </row>
    <row r="136" spans="2:10" ht="13">
      <c r="B136" s="1"/>
      <c r="C136" s="1"/>
      <c r="D136" s="1"/>
      <c r="E136" s="1"/>
      <c r="F136" s="1"/>
      <c r="G136" s="1"/>
      <c r="H136" s="1"/>
      <c r="I136" s="1"/>
      <c r="J136" s="1"/>
    </row>
    <row r="137" spans="2:10" ht="13">
      <c r="B137" s="1"/>
      <c r="C137" s="1"/>
      <c r="D137" s="1"/>
      <c r="E137" s="1"/>
      <c r="F137" s="1"/>
      <c r="G137" s="1"/>
      <c r="H137" s="1"/>
      <c r="I137" s="1"/>
      <c r="J137" s="1"/>
    </row>
    <row r="138" spans="2:10" ht="13">
      <c r="B138" s="1"/>
      <c r="C138" s="1"/>
      <c r="D138" s="1"/>
      <c r="E138" s="1"/>
      <c r="F138" s="1"/>
      <c r="G138" s="1"/>
      <c r="H138" s="1"/>
      <c r="I138" s="1"/>
      <c r="J138" s="1"/>
    </row>
    <row r="139" spans="2:10" ht="13">
      <c r="B139" s="1"/>
      <c r="C139" s="1"/>
      <c r="D139" s="1"/>
      <c r="E139" s="1"/>
      <c r="F139" s="1"/>
      <c r="G139" s="1"/>
      <c r="H139" s="1"/>
      <c r="I139" s="1"/>
      <c r="J139" s="1"/>
    </row>
    <row r="140" spans="2:10" ht="13">
      <c r="B140" s="1"/>
      <c r="C140" s="1"/>
      <c r="D140" s="1"/>
      <c r="E140" s="1"/>
      <c r="F140" s="1"/>
      <c r="G140" s="1"/>
      <c r="H140" s="1"/>
      <c r="I140" s="1"/>
      <c r="J140" s="1"/>
    </row>
    <row r="141" spans="2:10" ht="13">
      <c r="B141" s="1"/>
      <c r="C141" s="1"/>
      <c r="D141" s="1"/>
      <c r="E141" s="1"/>
      <c r="F141" s="1"/>
      <c r="G141" s="1"/>
      <c r="H141" s="1"/>
      <c r="I141" s="1"/>
      <c r="J141" s="1"/>
    </row>
    <row r="142" spans="2:10" ht="13">
      <c r="B142" s="1"/>
      <c r="C142" s="1"/>
      <c r="D142" s="1"/>
      <c r="E142" s="1"/>
      <c r="F142" s="1"/>
      <c r="G142" s="1"/>
      <c r="H142" s="1"/>
      <c r="I142" s="1"/>
      <c r="J142" s="1"/>
    </row>
    <row r="143" spans="2:10" ht="13">
      <c r="B143" s="1"/>
      <c r="C143" s="1"/>
      <c r="D143" s="1"/>
      <c r="E143" s="1"/>
      <c r="F143" s="1"/>
      <c r="G143" s="1"/>
      <c r="H143" s="1"/>
      <c r="I143" s="1"/>
      <c r="J143" s="1"/>
    </row>
    <row r="144" spans="2:10" ht="13">
      <c r="B144" s="1"/>
      <c r="C144" s="1"/>
      <c r="D144" s="1"/>
      <c r="E144" s="1"/>
      <c r="F144" s="1"/>
      <c r="G144" s="1"/>
      <c r="H144" s="1"/>
      <c r="I144" s="1"/>
      <c r="J144" s="1"/>
    </row>
    <row r="145" spans="2:10" ht="13">
      <c r="B145" s="1"/>
      <c r="C145" s="1"/>
      <c r="D145" s="1"/>
      <c r="E145" s="1"/>
      <c r="F145" s="1"/>
      <c r="G145" s="1"/>
      <c r="H145" s="1"/>
      <c r="I145" s="1"/>
      <c r="J145" s="1"/>
    </row>
    <row r="146" spans="2:10" ht="13">
      <c r="B146" s="1"/>
      <c r="C146" s="1"/>
      <c r="D146" s="1"/>
      <c r="E146" s="1"/>
      <c r="F146" s="1"/>
      <c r="G146" s="1"/>
      <c r="H146" s="1"/>
      <c r="I146" s="1"/>
      <c r="J146" s="1"/>
    </row>
    <row r="147" spans="2:10" ht="13">
      <c r="B147" s="1"/>
      <c r="C147" s="1"/>
      <c r="D147" s="1"/>
      <c r="E147" s="1"/>
      <c r="F147" s="1"/>
      <c r="G147" s="1"/>
      <c r="H147" s="1"/>
      <c r="I147" s="1"/>
      <c r="J147" s="1"/>
    </row>
    <row r="148" spans="2:10" ht="13">
      <c r="B148" s="1"/>
      <c r="C148" s="1"/>
      <c r="D148" s="1"/>
      <c r="E148" s="1"/>
      <c r="F148" s="1"/>
      <c r="G148" s="1"/>
      <c r="H148" s="1"/>
      <c r="I148" s="1"/>
      <c r="J148" s="1"/>
    </row>
    <row r="149" spans="2:10" ht="13">
      <c r="B149" s="1"/>
      <c r="C149" s="1"/>
      <c r="D149" s="1"/>
      <c r="E149" s="1"/>
      <c r="F149" s="1"/>
      <c r="G149" s="1"/>
      <c r="H149" s="1"/>
      <c r="I149" s="1"/>
      <c r="J149" s="1"/>
    </row>
    <row r="150" spans="2:10" ht="13">
      <c r="B150" s="1"/>
      <c r="C150" s="1"/>
      <c r="D150" s="1"/>
      <c r="E150" s="1"/>
      <c r="F150" s="1"/>
      <c r="G150" s="1"/>
      <c r="H150" s="1"/>
      <c r="I150" s="1"/>
      <c r="J150" s="1"/>
    </row>
    <row r="151" spans="2:10" ht="13">
      <c r="B151" s="1"/>
      <c r="C151" s="1"/>
      <c r="D151" s="1"/>
      <c r="E151" s="1"/>
      <c r="F151" s="1"/>
      <c r="G151" s="1"/>
      <c r="H151" s="1"/>
      <c r="I151" s="1"/>
      <c r="J151" s="1"/>
    </row>
    <row r="152" spans="2:10" ht="13">
      <c r="B152" s="1"/>
      <c r="C152" s="1"/>
      <c r="D152" s="1"/>
      <c r="E152" s="1"/>
      <c r="F152" s="1"/>
      <c r="G152" s="1"/>
      <c r="H152" s="1"/>
      <c r="I152" s="1"/>
      <c r="J152" s="1"/>
    </row>
    <row r="153" spans="2:10" ht="13">
      <c r="B153" s="1"/>
      <c r="C153" s="1"/>
      <c r="D153" s="1"/>
      <c r="E153" s="1"/>
      <c r="F153" s="1"/>
      <c r="G153" s="1"/>
      <c r="H153" s="1"/>
      <c r="I153" s="1"/>
      <c r="J153" s="1"/>
    </row>
    <row r="154" spans="2:10" ht="13">
      <c r="B154" s="1"/>
      <c r="C154" s="1"/>
      <c r="D154" s="1"/>
      <c r="E154" s="1"/>
      <c r="F154" s="1"/>
      <c r="G154" s="1"/>
      <c r="H154" s="1"/>
      <c r="I154" s="1"/>
      <c r="J154" s="1"/>
    </row>
    <row r="155" spans="2:10" ht="13">
      <c r="B155" s="1"/>
      <c r="C155" s="1"/>
      <c r="D155" s="1"/>
      <c r="E155" s="1"/>
      <c r="F155" s="1"/>
      <c r="G155" s="1"/>
      <c r="H155" s="1"/>
      <c r="I155" s="1"/>
      <c r="J155" s="1"/>
    </row>
    <row r="156" spans="2:10" ht="13">
      <c r="B156" s="1"/>
      <c r="C156" s="1"/>
      <c r="D156" s="1"/>
      <c r="E156" s="1"/>
      <c r="F156" s="1"/>
      <c r="G156" s="1"/>
      <c r="H156" s="1"/>
      <c r="I156" s="1"/>
      <c r="J156" s="1"/>
    </row>
    <row r="157" spans="2:10" ht="13">
      <c r="B157" s="1"/>
      <c r="C157" s="1"/>
      <c r="D157" s="1"/>
      <c r="E157" s="1"/>
      <c r="F157" s="1"/>
      <c r="G157" s="1"/>
      <c r="H157" s="1"/>
      <c r="I157" s="1"/>
      <c r="J157" s="1"/>
    </row>
    <row r="158" spans="2:10" ht="13">
      <c r="B158" s="1"/>
      <c r="C158" s="1"/>
      <c r="D158" s="1"/>
      <c r="E158" s="1"/>
      <c r="F158" s="1"/>
      <c r="G158" s="1"/>
      <c r="H158" s="1"/>
      <c r="I158" s="1"/>
      <c r="J158" s="1"/>
    </row>
    <row r="159" spans="2:10" ht="13">
      <c r="B159" s="1"/>
      <c r="C159" s="1"/>
      <c r="D159" s="1"/>
      <c r="E159" s="1"/>
      <c r="F159" s="1"/>
      <c r="G159" s="1"/>
      <c r="H159" s="1"/>
      <c r="I159" s="1"/>
      <c r="J159" s="1"/>
    </row>
    <row r="160" spans="2:10" ht="13">
      <c r="B160" s="1"/>
      <c r="C160" s="1"/>
      <c r="D160" s="1"/>
      <c r="E160" s="1"/>
      <c r="F160" s="1"/>
      <c r="G160" s="1"/>
      <c r="H160" s="1"/>
      <c r="I160" s="1"/>
      <c r="J160" s="1"/>
    </row>
    <row r="161" spans="2:10" ht="13">
      <c r="B161" s="1"/>
      <c r="C161" s="1"/>
      <c r="D161" s="1"/>
      <c r="E161" s="1"/>
      <c r="F161" s="1"/>
      <c r="G161" s="1"/>
      <c r="H161" s="1"/>
      <c r="I161" s="1"/>
      <c r="J161" s="1"/>
    </row>
    <row r="162" spans="2:10" ht="13">
      <c r="B162" s="1"/>
      <c r="C162" s="1"/>
      <c r="D162" s="1"/>
      <c r="E162" s="1"/>
      <c r="F162" s="1"/>
      <c r="G162" s="1"/>
      <c r="H162" s="1"/>
      <c r="I162" s="1"/>
      <c r="J162" s="1"/>
    </row>
    <row r="163" spans="2:10" ht="13">
      <c r="B163" s="1"/>
      <c r="C163" s="1"/>
      <c r="D163" s="1"/>
      <c r="E163" s="1"/>
      <c r="F163" s="1"/>
      <c r="G163" s="1"/>
      <c r="H163" s="1"/>
      <c r="I163" s="1"/>
      <c r="J163" s="1"/>
    </row>
    <row r="164" spans="2:10" ht="13">
      <c r="B164" s="1"/>
      <c r="C164" s="1"/>
      <c r="D164" s="1"/>
      <c r="E164" s="1"/>
      <c r="F164" s="1"/>
      <c r="G164" s="1"/>
      <c r="H164" s="1"/>
      <c r="I164" s="1"/>
      <c r="J164" s="1"/>
    </row>
    <row r="165" spans="2:10" ht="13">
      <c r="B165" s="1"/>
      <c r="C165" s="1"/>
      <c r="D165" s="1"/>
      <c r="E165" s="1"/>
      <c r="F165" s="1"/>
      <c r="G165" s="1"/>
      <c r="H165" s="1"/>
      <c r="I165" s="1"/>
      <c r="J165" s="1"/>
    </row>
    <row r="166" spans="2:10" ht="13">
      <c r="B166" s="1"/>
      <c r="C166" s="1"/>
      <c r="D166" s="1"/>
      <c r="E166" s="1"/>
      <c r="F166" s="1"/>
      <c r="G166" s="1"/>
      <c r="H166" s="1"/>
      <c r="I166" s="1"/>
      <c r="J166" s="1"/>
    </row>
    <row r="167" spans="2:10" ht="13">
      <c r="B167" s="1"/>
      <c r="C167" s="1"/>
      <c r="D167" s="1"/>
      <c r="E167" s="1"/>
      <c r="F167" s="1"/>
      <c r="G167" s="1"/>
      <c r="H167" s="1"/>
      <c r="I167" s="1"/>
      <c r="J167" s="1"/>
    </row>
    <row r="168" spans="2:10" ht="13">
      <c r="B168" s="1"/>
      <c r="C168" s="1"/>
      <c r="D168" s="1"/>
      <c r="E168" s="1"/>
      <c r="F168" s="1"/>
      <c r="G168" s="1"/>
      <c r="H168" s="1"/>
      <c r="I168" s="1"/>
      <c r="J168" s="1"/>
    </row>
    <row r="169" spans="2:10" ht="13">
      <c r="B169" s="1"/>
      <c r="C169" s="1"/>
      <c r="D169" s="1"/>
      <c r="E169" s="1"/>
      <c r="F169" s="1"/>
      <c r="G169" s="1"/>
      <c r="H169" s="1"/>
      <c r="I169" s="1"/>
      <c r="J169" s="1"/>
    </row>
    <row r="170" spans="2:10" ht="13">
      <c r="B170" s="1"/>
      <c r="C170" s="1"/>
      <c r="D170" s="1"/>
      <c r="E170" s="1"/>
      <c r="F170" s="1"/>
      <c r="G170" s="1"/>
      <c r="H170" s="1"/>
      <c r="I170" s="1"/>
      <c r="J170" s="1"/>
    </row>
    <row r="171" spans="2:10" ht="13">
      <c r="B171" s="1"/>
      <c r="C171" s="1"/>
      <c r="D171" s="1"/>
      <c r="E171" s="1"/>
      <c r="F171" s="1"/>
      <c r="G171" s="1"/>
      <c r="H171" s="1"/>
      <c r="I171" s="1"/>
      <c r="J171" s="1"/>
    </row>
    <row r="172" spans="2:10" ht="13">
      <c r="B172" s="1"/>
      <c r="C172" s="1"/>
      <c r="D172" s="1"/>
      <c r="E172" s="1"/>
      <c r="F172" s="1"/>
      <c r="G172" s="1"/>
      <c r="H172" s="1"/>
      <c r="I172" s="1"/>
      <c r="J172" s="1"/>
    </row>
    <row r="173" spans="2:10" ht="13">
      <c r="B173" s="1"/>
      <c r="C173" s="1"/>
      <c r="D173" s="1"/>
      <c r="E173" s="1"/>
      <c r="F173" s="1"/>
      <c r="G173" s="1"/>
      <c r="H173" s="1"/>
      <c r="I173" s="1"/>
      <c r="J173" s="1"/>
    </row>
    <row r="174" spans="2:10" ht="13">
      <c r="B174" s="1"/>
      <c r="C174" s="1"/>
      <c r="D174" s="1"/>
      <c r="E174" s="1"/>
      <c r="F174" s="1"/>
      <c r="G174" s="1"/>
      <c r="H174" s="1"/>
      <c r="I174" s="1"/>
      <c r="J174" s="1"/>
    </row>
    <row r="175" spans="2:10" ht="13">
      <c r="B175" s="1"/>
      <c r="C175" s="1"/>
      <c r="D175" s="1"/>
      <c r="E175" s="1"/>
      <c r="F175" s="1"/>
      <c r="G175" s="1"/>
      <c r="H175" s="1"/>
      <c r="I175" s="1"/>
      <c r="J175" s="1"/>
    </row>
    <row r="176" spans="2:10" ht="13">
      <c r="B176" s="1"/>
      <c r="C176" s="1"/>
      <c r="D176" s="1"/>
      <c r="E176" s="1"/>
      <c r="F176" s="1"/>
      <c r="G176" s="1"/>
      <c r="H176" s="1"/>
      <c r="I176" s="1"/>
      <c r="J176" s="1"/>
    </row>
    <row r="177" spans="2:10" ht="13">
      <c r="B177" s="1"/>
      <c r="C177" s="1"/>
      <c r="D177" s="1"/>
      <c r="E177" s="1"/>
      <c r="F177" s="1"/>
      <c r="G177" s="1"/>
      <c r="H177" s="1"/>
      <c r="I177" s="1"/>
      <c r="J177" s="1"/>
    </row>
    <row r="178" spans="2:10" ht="13">
      <c r="B178" s="1"/>
      <c r="C178" s="1"/>
      <c r="D178" s="1"/>
      <c r="E178" s="1"/>
      <c r="F178" s="1"/>
      <c r="G178" s="1"/>
      <c r="H178" s="1"/>
      <c r="I178" s="1"/>
      <c r="J178" s="1"/>
    </row>
    <row r="179" spans="2:10" ht="13">
      <c r="B179" s="1"/>
      <c r="C179" s="1"/>
      <c r="D179" s="1"/>
      <c r="E179" s="1"/>
      <c r="F179" s="1"/>
      <c r="G179" s="1"/>
      <c r="H179" s="1"/>
      <c r="I179" s="1"/>
      <c r="J179" s="1"/>
    </row>
    <row r="180" spans="2:10" ht="13">
      <c r="B180" s="1"/>
      <c r="C180" s="1"/>
      <c r="D180" s="1"/>
      <c r="E180" s="1"/>
      <c r="F180" s="1"/>
      <c r="G180" s="1"/>
      <c r="H180" s="1"/>
      <c r="I180" s="1"/>
      <c r="J180" s="1"/>
    </row>
    <row r="181" spans="2:10" ht="13">
      <c r="B181" s="1"/>
      <c r="C181" s="1"/>
      <c r="D181" s="1"/>
      <c r="E181" s="1"/>
      <c r="F181" s="1"/>
      <c r="G181" s="1"/>
      <c r="H181" s="1"/>
      <c r="I181" s="1"/>
      <c r="J181" s="1"/>
    </row>
    <row r="182" spans="2:10" ht="13">
      <c r="B182" s="1"/>
      <c r="C182" s="1"/>
      <c r="D182" s="1"/>
      <c r="E182" s="1"/>
      <c r="F182" s="1"/>
      <c r="G182" s="1"/>
      <c r="H182" s="1"/>
      <c r="I182" s="1"/>
      <c r="J182" s="1"/>
    </row>
    <row r="183" spans="2:10" ht="13">
      <c r="B183" s="1"/>
      <c r="C183" s="1"/>
      <c r="D183" s="1"/>
      <c r="E183" s="1"/>
      <c r="F183" s="1"/>
      <c r="G183" s="1"/>
      <c r="H183" s="1"/>
      <c r="I183" s="1"/>
      <c r="J183" s="1"/>
    </row>
    <row r="184" spans="2:10" ht="13">
      <c r="B184" s="1"/>
      <c r="C184" s="1"/>
      <c r="D184" s="1"/>
      <c r="E184" s="1"/>
      <c r="F184" s="1"/>
      <c r="G184" s="1"/>
      <c r="H184" s="1"/>
      <c r="I184" s="1"/>
      <c r="J184" s="1"/>
    </row>
    <row r="185" spans="2:10" ht="13">
      <c r="B185" s="1"/>
      <c r="C185" s="1"/>
      <c r="D185" s="1"/>
      <c r="E185" s="1"/>
      <c r="F185" s="1"/>
      <c r="G185" s="1"/>
      <c r="H185" s="1"/>
      <c r="I185" s="1"/>
      <c r="J185" s="1"/>
    </row>
    <row r="186" spans="2:10" ht="13">
      <c r="B186" s="1"/>
      <c r="C186" s="1"/>
      <c r="D186" s="1"/>
      <c r="E186" s="1"/>
      <c r="F186" s="1"/>
      <c r="G186" s="1"/>
      <c r="H186" s="1"/>
      <c r="I186" s="1"/>
      <c r="J186" s="1"/>
    </row>
    <row r="187" spans="2:10" ht="13">
      <c r="B187" s="1"/>
      <c r="C187" s="1"/>
      <c r="D187" s="1"/>
      <c r="E187" s="1"/>
      <c r="F187" s="1"/>
      <c r="G187" s="1"/>
      <c r="H187" s="1"/>
      <c r="I187" s="1"/>
      <c r="J187" s="1"/>
    </row>
    <row r="188" spans="2:10" ht="13">
      <c r="B188" s="1"/>
      <c r="C188" s="1"/>
      <c r="D188" s="1"/>
      <c r="E188" s="1"/>
      <c r="F188" s="1"/>
      <c r="G188" s="1"/>
      <c r="H188" s="1"/>
      <c r="I188" s="1"/>
      <c r="J188" s="1"/>
    </row>
    <row r="189" spans="2:10" ht="13">
      <c r="B189" s="1"/>
      <c r="C189" s="1"/>
      <c r="D189" s="1"/>
      <c r="E189" s="1"/>
      <c r="F189" s="1"/>
      <c r="G189" s="1"/>
      <c r="H189" s="1"/>
      <c r="I189" s="1"/>
      <c r="J189" s="1"/>
    </row>
    <row r="190" spans="2:10" ht="13">
      <c r="B190" s="1"/>
      <c r="C190" s="1"/>
      <c r="D190" s="1"/>
      <c r="E190" s="1"/>
      <c r="F190" s="1"/>
      <c r="G190" s="1"/>
      <c r="H190" s="1"/>
      <c r="I190" s="1"/>
      <c r="J190" s="1"/>
    </row>
    <row r="191" spans="2:10" ht="13">
      <c r="B191" s="1"/>
      <c r="C191" s="1"/>
      <c r="D191" s="1"/>
      <c r="E191" s="1"/>
      <c r="F191" s="1"/>
      <c r="G191" s="1"/>
      <c r="H191" s="1"/>
      <c r="I191" s="1"/>
      <c r="J191" s="1"/>
    </row>
    <row r="192" spans="2:10" ht="13">
      <c r="B192" s="1"/>
      <c r="C192" s="1"/>
      <c r="D192" s="1"/>
      <c r="E192" s="1"/>
      <c r="F192" s="1"/>
      <c r="G192" s="1"/>
      <c r="H192" s="1"/>
      <c r="I192" s="1"/>
      <c r="J192" s="1"/>
    </row>
    <row r="193" spans="2:10" ht="13">
      <c r="B193" s="1"/>
      <c r="C193" s="1"/>
      <c r="D193" s="1"/>
      <c r="E193" s="1"/>
      <c r="F193" s="1"/>
      <c r="G193" s="1"/>
      <c r="H193" s="1"/>
      <c r="I193" s="1"/>
      <c r="J193" s="1"/>
    </row>
    <row r="194" spans="2:10" ht="13">
      <c r="B194" s="1"/>
      <c r="C194" s="1"/>
      <c r="D194" s="1"/>
      <c r="E194" s="1"/>
      <c r="F194" s="1"/>
      <c r="G194" s="1"/>
      <c r="H194" s="1"/>
      <c r="I194" s="1"/>
      <c r="J194" s="1"/>
    </row>
    <row r="195" spans="2:10" ht="13">
      <c r="B195" s="1"/>
      <c r="C195" s="1"/>
      <c r="D195" s="1"/>
      <c r="E195" s="1"/>
      <c r="F195" s="1"/>
      <c r="G195" s="1"/>
      <c r="H195" s="1"/>
      <c r="I195" s="1"/>
      <c r="J195" s="1"/>
    </row>
    <row r="196" spans="2:10" ht="13">
      <c r="B196" s="1"/>
      <c r="C196" s="1"/>
      <c r="D196" s="1"/>
      <c r="E196" s="1"/>
      <c r="F196" s="1"/>
      <c r="G196" s="1"/>
      <c r="H196" s="1"/>
      <c r="I196" s="1"/>
      <c r="J196" s="1"/>
    </row>
    <row r="197" spans="2:10" ht="13">
      <c r="B197" s="1"/>
      <c r="C197" s="1"/>
      <c r="D197" s="1"/>
      <c r="E197" s="1"/>
      <c r="F197" s="1"/>
      <c r="G197" s="1"/>
      <c r="H197" s="1"/>
      <c r="I197" s="1"/>
      <c r="J197" s="1"/>
    </row>
    <row r="198" spans="2:10" ht="13">
      <c r="B198" s="1"/>
      <c r="C198" s="1"/>
      <c r="D198" s="1"/>
      <c r="E198" s="1"/>
      <c r="F198" s="1"/>
      <c r="G198" s="1"/>
      <c r="H198" s="1"/>
      <c r="I198" s="1"/>
      <c r="J198" s="1"/>
    </row>
    <row r="199" spans="2:10" ht="13">
      <c r="B199" s="1"/>
      <c r="C199" s="1"/>
      <c r="D199" s="1"/>
      <c r="E199" s="1"/>
      <c r="F199" s="1"/>
      <c r="G199" s="1"/>
      <c r="H199" s="1"/>
      <c r="I199" s="1"/>
      <c r="J199" s="1"/>
    </row>
    <row r="200" spans="2:10" ht="13">
      <c r="B200" s="1"/>
      <c r="C200" s="1"/>
      <c r="D200" s="1"/>
      <c r="E200" s="1"/>
      <c r="F200" s="1"/>
      <c r="G200" s="1"/>
      <c r="H200" s="1"/>
      <c r="I200" s="1"/>
      <c r="J200" s="1"/>
    </row>
    <row r="201" spans="2:10" ht="13">
      <c r="B201" s="1"/>
      <c r="C201" s="1"/>
      <c r="D201" s="1"/>
      <c r="E201" s="1"/>
      <c r="F201" s="1"/>
      <c r="G201" s="1"/>
      <c r="H201" s="1"/>
      <c r="I201" s="1"/>
      <c r="J201" s="1"/>
    </row>
    <row r="202" spans="2:10" ht="13">
      <c r="B202" s="1"/>
      <c r="C202" s="1"/>
      <c r="D202" s="1"/>
      <c r="E202" s="1"/>
      <c r="F202" s="1"/>
      <c r="G202" s="1"/>
      <c r="H202" s="1"/>
      <c r="I202" s="1"/>
      <c r="J202" s="1"/>
    </row>
    <row r="203" spans="2:10" ht="13">
      <c r="B203" s="1"/>
      <c r="C203" s="1"/>
      <c r="D203" s="1"/>
      <c r="E203" s="1"/>
      <c r="F203" s="1"/>
      <c r="G203" s="1"/>
      <c r="H203" s="1"/>
      <c r="I203" s="1"/>
      <c r="J203" s="1"/>
    </row>
    <row r="204" spans="2:10" ht="13">
      <c r="B204" s="1"/>
      <c r="C204" s="1"/>
      <c r="D204" s="1"/>
      <c r="E204" s="1"/>
      <c r="F204" s="1"/>
      <c r="G204" s="1"/>
      <c r="H204" s="1"/>
      <c r="I204" s="1"/>
      <c r="J204" s="1"/>
    </row>
    <row r="205" spans="2:10" ht="13">
      <c r="B205" s="1"/>
      <c r="C205" s="1"/>
      <c r="D205" s="1"/>
      <c r="E205" s="1"/>
      <c r="F205" s="1"/>
      <c r="G205" s="1"/>
      <c r="H205" s="1"/>
      <c r="I205" s="1"/>
      <c r="J205" s="1"/>
    </row>
    <row r="206" spans="2:10" ht="13">
      <c r="B206" s="1"/>
      <c r="C206" s="1"/>
      <c r="D206" s="1"/>
      <c r="E206" s="1"/>
      <c r="F206" s="1"/>
      <c r="G206" s="1"/>
      <c r="H206" s="1"/>
      <c r="I206" s="1"/>
      <c r="J206" s="1"/>
    </row>
    <row r="207" spans="2:10" ht="13">
      <c r="B207" s="1"/>
      <c r="C207" s="1"/>
      <c r="D207" s="1"/>
      <c r="E207" s="1"/>
      <c r="F207" s="1"/>
      <c r="G207" s="1"/>
      <c r="H207" s="1"/>
      <c r="I207" s="1"/>
      <c r="J207" s="1"/>
    </row>
    <row r="208" spans="2:10" ht="13">
      <c r="B208" s="1"/>
      <c r="C208" s="1"/>
      <c r="D208" s="1"/>
      <c r="E208" s="1"/>
      <c r="F208" s="1"/>
      <c r="G208" s="1"/>
      <c r="H208" s="1"/>
      <c r="I208" s="1"/>
      <c r="J208" s="1"/>
    </row>
    <row r="209" spans="2:10" ht="13">
      <c r="B209" s="1"/>
      <c r="C209" s="1"/>
      <c r="D209" s="1"/>
      <c r="E209" s="1"/>
      <c r="F209" s="1"/>
      <c r="G209" s="1"/>
      <c r="H209" s="1"/>
      <c r="I209" s="1"/>
      <c r="J209" s="1"/>
    </row>
    <row r="210" spans="2:10" ht="13">
      <c r="B210" s="1"/>
      <c r="C210" s="1"/>
      <c r="D210" s="1"/>
      <c r="E210" s="1"/>
      <c r="F210" s="1"/>
      <c r="G210" s="1"/>
      <c r="H210" s="1"/>
      <c r="I210" s="1"/>
      <c r="J210" s="1"/>
    </row>
    <row r="211" spans="2:10" ht="13">
      <c r="B211" s="1"/>
      <c r="C211" s="1"/>
      <c r="D211" s="1"/>
      <c r="E211" s="1"/>
      <c r="F211" s="1"/>
      <c r="G211" s="1"/>
      <c r="H211" s="1"/>
      <c r="I211" s="1"/>
      <c r="J211" s="1"/>
    </row>
    <row r="212" spans="2:10" ht="13">
      <c r="B212" s="1"/>
      <c r="C212" s="1"/>
      <c r="D212" s="1"/>
      <c r="E212" s="1"/>
      <c r="F212" s="1"/>
      <c r="G212" s="1"/>
      <c r="H212" s="1"/>
      <c r="I212" s="1"/>
      <c r="J212" s="1"/>
    </row>
    <row r="213" spans="2:10" ht="13">
      <c r="B213" s="1"/>
      <c r="C213" s="1"/>
      <c r="D213" s="1"/>
      <c r="E213" s="1"/>
      <c r="F213" s="1"/>
      <c r="G213" s="1"/>
      <c r="H213" s="1"/>
      <c r="I213" s="1"/>
      <c r="J213" s="1"/>
    </row>
    <row r="214" spans="2:10" ht="13">
      <c r="B214" s="1"/>
      <c r="C214" s="1"/>
      <c r="D214" s="1"/>
      <c r="E214" s="1"/>
      <c r="F214" s="1"/>
      <c r="G214" s="1"/>
      <c r="H214" s="1"/>
      <c r="I214" s="1"/>
      <c r="J214" s="1"/>
    </row>
    <row r="215" spans="2:10" ht="13">
      <c r="B215" s="1"/>
      <c r="C215" s="1"/>
      <c r="D215" s="1"/>
      <c r="E215" s="1"/>
      <c r="F215" s="1"/>
      <c r="G215" s="1"/>
      <c r="H215" s="1"/>
      <c r="I215" s="1"/>
      <c r="J215" s="1"/>
    </row>
    <row r="216" spans="2:10" ht="13">
      <c r="B216" s="1"/>
      <c r="C216" s="1"/>
      <c r="D216" s="1"/>
      <c r="E216" s="1"/>
      <c r="F216" s="1"/>
      <c r="G216" s="1"/>
      <c r="H216" s="1"/>
      <c r="I216" s="1"/>
      <c r="J216" s="1"/>
    </row>
    <row r="217" spans="2:10" ht="13">
      <c r="B217" s="1"/>
      <c r="C217" s="1"/>
      <c r="D217" s="1"/>
      <c r="E217" s="1"/>
      <c r="F217" s="1"/>
      <c r="G217" s="1"/>
      <c r="H217" s="1"/>
      <c r="I217" s="1"/>
      <c r="J217" s="1"/>
    </row>
    <row r="218" spans="2:10" ht="13">
      <c r="B218" s="1"/>
      <c r="C218" s="1"/>
      <c r="D218" s="1"/>
      <c r="E218" s="1"/>
      <c r="F218" s="1"/>
      <c r="G218" s="1"/>
      <c r="H218" s="1"/>
      <c r="I218" s="1"/>
      <c r="J218" s="1"/>
    </row>
    <row r="219" spans="2:10" ht="13">
      <c r="B219" s="1"/>
      <c r="C219" s="1"/>
      <c r="D219" s="1"/>
      <c r="E219" s="1"/>
      <c r="F219" s="1"/>
      <c r="G219" s="1"/>
      <c r="H219" s="1"/>
      <c r="I219" s="1"/>
      <c r="J219" s="1"/>
    </row>
    <row r="220" spans="2:10" ht="13">
      <c r="B220" s="1"/>
      <c r="C220" s="1"/>
      <c r="D220" s="1"/>
      <c r="E220" s="1"/>
      <c r="F220" s="1"/>
      <c r="G220" s="1"/>
      <c r="H220" s="1"/>
      <c r="I220" s="1"/>
      <c r="J220" s="1"/>
    </row>
    <row r="221" spans="2:10" ht="13">
      <c r="B221" s="1"/>
      <c r="C221" s="1"/>
      <c r="D221" s="1"/>
      <c r="E221" s="1"/>
      <c r="F221" s="1"/>
      <c r="G221" s="1"/>
      <c r="H221" s="1"/>
      <c r="I221" s="1"/>
      <c r="J221" s="1"/>
    </row>
    <row r="222" spans="2:10" ht="13">
      <c r="B222" s="1"/>
      <c r="C222" s="1"/>
      <c r="D222" s="1"/>
      <c r="E222" s="1"/>
      <c r="F222" s="1"/>
      <c r="G222" s="1"/>
      <c r="H222" s="1"/>
      <c r="I222" s="1"/>
      <c r="J222" s="1"/>
    </row>
    <row r="223" spans="2:10" ht="13">
      <c r="B223" s="1"/>
      <c r="C223" s="1"/>
      <c r="D223" s="1"/>
      <c r="E223" s="1"/>
      <c r="F223" s="1"/>
      <c r="G223" s="1"/>
      <c r="H223" s="1"/>
      <c r="I223" s="1"/>
      <c r="J223" s="1"/>
    </row>
    <row r="224" spans="2:10" ht="13">
      <c r="B224" s="1"/>
      <c r="C224" s="1"/>
      <c r="D224" s="1"/>
      <c r="E224" s="1"/>
      <c r="F224" s="1"/>
      <c r="G224" s="1"/>
      <c r="H224" s="1"/>
      <c r="I224" s="1"/>
      <c r="J224" s="1"/>
    </row>
    <row r="225" spans="2:10" ht="13">
      <c r="B225" s="1"/>
      <c r="C225" s="1"/>
      <c r="D225" s="1"/>
      <c r="E225" s="1"/>
      <c r="F225" s="1"/>
      <c r="G225" s="1"/>
      <c r="H225" s="1"/>
      <c r="I225" s="1"/>
      <c r="J225" s="1"/>
    </row>
    <row r="226" spans="2:10" ht="13">
      <c r="B226" s="1"/>
      <c r="C226" s="1"/>
      <c r="D226" s="1"/>
      <c r="E226" s="1"/>
      <c r="F226" s="1"/>
      <c r="G226" s="1"/>
      <c r="H226" s="1"/>
      <c r="I226" s="1"/>
      <c r="J226" s="1"/>
    </row>
    <row r="227" spans="2:10" ht="13">
      <c r="B227" s="1"/>
      <c r="C227" s="1"/>
      <c r="D227" s="1"/>
      <c r="E227" s="1"/>
      <c r="F227" s="1"/>
      <c r="G227" s="1"/>
      <c r="H227" s="1"/>
      <c r="I227" s="1"/>
      <c r="J227" s="1"/>
    </row>
    <row r="228" spans="2:10" ht="13">
      <c r="B228" s="1"/>
      <c r="C228" s="1"/>
      <c r="D228" s="1"/>
      <c r="E228" s="1"/>
      <c r="F228" s="1"/>
      <c r="G228" s="1"/>
      <c r="H228" s="1"/>
      <c r="I228" s="1"/>
      <c r="J228" s="1"/>
    </row>
    <row r="229" spans="2:10" ht="13">
      <c r="B229" s="1"/>
      <c r="C229" s="1"/>
      <c r="D229" s="1"/>
      <c r="E229" s="1"/>
      <c r="F229" s="1"/>
      <c r="G229" s="1"/>
      <c r="H229" s="1"/>
      <c r="I229" s="1"/>
      <c r="J229" s="1"/>
    </row>
    <row r="230" spans="2:10" ht="13">
      <c r="B230" s="1"/>
      <c r="C230" s="1"/>
      <c r="D230" s="1"/>
      <c r="E230" s="1"/>
      <c r="F230" s="1"/>
      <c r="G230" s="1"/>
      <c r="H230" s="1"/>
      <c r="I230" s="1"/>
      <c r="J230" s="1"/>
    </row>
    <row r="231" spans="2:10" ht="13">
      <c r="B231" s="1"/>
      <c r="C231" s="1"/>
      <c r="D231" s="1"/>
      <c r="E231" s="1"/>
      <c r="F231" s="1"/>
      <c r="G231" s="1"/>
      <c r="H231" s="1"/>
      <c r="I231" s="1"/>
      <c r="J231" s="1"/>
    </row>
    <row r="232" spans="2:10" ht="13">
      <c r="B232" s="1"/>
      <c r="C232" s="1"/>
      <c r="D232" s="1"/>
      <c r="E232" s="1"/>
      <c r="F232" s="1"/>
      <c r="G232" s="1"/>
      <c r="H232" s="1"/>
      <c r="I232" s="1"/>
      <c r="J232" s="1"/>
    </row>
    <row r="233" spans="2:10" ht="13">
      <c r="B233" s="1"/>
      <c r="C233" s="1"/>
      <c r="D233" s="1"/>
      <c r="E233" s="1"/>
      <c r="F233" s="1"/>
      <c r="G233" s="1"/>
      <c r="H233" s="1"/>
      <c r="I233" s="1"/>
      <c r="J233" s="1"/>
    </row>
    <row r="234" spans="2:10" ht="13">
      <c r="B234" s="1"/>
      <c r="C234" s="1"/>
      <c r="D234" s="1"/>
      <c r="E234" s="1"/>
      <c r="F234" s="1"/>
      <c r="G234" s="1"/>
      <c r="H234" s="1"/>
      <c r="I234" s="1"/>
      <c r="J234" s="1"/>
    </row>
    <row r="235" spans="2:10" ht="13">
      <c r="B235" s="1"/>
      <c r="C235" s="1"/>
      <c r="D235" s="1"/>
      <c r="E235" s="1"/>
      <c r="F235" s="1"/>
      <c r="G235" s="1"/>
      <c r="H235" s="1"/>
      <c r="I235" s="1"/>
      <c r="J235" s="1"/>
    </row>
    <row r="236" spans="2:10" ht="13">
      <c r="B236" s="1"/>
      <c r="C236" s="1"/>
      <c r="D236" s="1"/>
      <c r="E236" s="1"/>
      <c r="F236" s="1"/>
      <c r="G236" s="1"/>
      <c r="H236" s="1"/>
      <c r="I236" s="1"/>
      <c r="J236" s="1"/>
    </row>
    <row r="237" spans="2:10" ht="13">
      <c r="B237" s="1"/>
      <c r="C237" s="1"/>
      <c r="D237" s="1"/>
      <c r="E237" s="1"/>
      <c r="F237" s="1"/>
      <c r="G237" s="1"/>
      <c r="H237" s="1"/>
      <c r="I237" s="1"/>
      <c r="J237" s="1"/>
    </row>
    <row r="238" spans="2:10" ht="13">
      <c r="B238" s="1"/>
      <c r="C238" s="1"/>
      <c r="D238" s="1"/>
      <c r="E238" s="1"/>
      <c r="F238" s="1"/>
      <c r="G238" s="1"/>
      <c r="H238" s="1"/>
      <c r="I238" s="1"/>
      <c r="J238" s="1"/>
    </row>
    <row r="239" spans="2:10" ht="13">
      <c r="B239" s="1"/>
      <c r="C239" s="1"/>
      <c r="D239" s="1"/>
      <c r="E239" s="1"/>
      <c r="F239" s="1"/>
      <c r="G239" s="1"/>
      <c r="H239" s="1"/>
      <c r="I239" s="1"/>
      <c r="J239" s="1"/>
    </row>
    <row r="240" spans="2:10" ht="13">
      <c r="B240" s="1"/>
      <c r="C240" s="1"/>
      <c r="D240" s="1"/>
      <c r="E240" s="1"/>
      <c r="F240" s="1"/>
      <c r="G240" s="1"/>
      <c r="H240" s="1"/>
      <c r="I240" s="1"/>
      <c r="J240" s="1"/>
    </row>
    <row r="241" spans="2:10" ht="13">
      <c r="B241" s="1"/>
      <c r="C241" s="1"/>
      <c r="D241" s="1"/>
      <c r="E241" s="1"/>
      <c r="F241" s="1"/>
      <c r="G241" s="1"/>
      <c r="H241" s="1"/>
      <c r="I241" s="1"/>
      <c r="J241" s="1"/>
    </row>
    <row r="242" spans="2:10" ht="13">
      <c r="B242" s="1"/>
      <c r="C242" s="1"/>
      <c r="D242" s="1"/>
      <c r="E242" s="1"/>
      <c r="F242" s="1"/>
      <c r="G242" s="1"/>
      <c r="H242" s="1"/>
      <c r="I242" s="1"/>
      <c r="J242" s="1"/>
    </row>
    <row r="243" spans="2:10" ht="13">
      <c r="B243" s="1"/>
      <c r="C243" s="1"/>
      <c r="D243" s="1"/>
      <c r="E243" s="1"/>
      <c r="F243" s="1"/>
      <c r="G243" s="1"/>
      <c r="H243" s="1"/>
      <c r="I243" s="1"/>
      <c r="J243" s="1"/>
    </row>
    <row r="244" spans="2:10" ht="13">
      <c r="B244" s="1"/>
      <c r="C244" s="1"/>
      <c r="D244" s="1"/>
      <c r="E244" s="1"/>
      <c r="F244" s="1"/>
      <c r="G244" s="1"/>
      <c r="H244" s="1"/>
      <c r="I244" s="1"/>
      <c r="J244" s="1"/>
    </row>
    <row r="245" spans="2:10" ht="13">
      <c r="B245" s="1"/>
      <c r="C245" s="1"/>
      <c r="D245" s="1"/>
      <c r="E245" s="1"/>
      <c r="F245" s="1"/>
      <c r="G245" s="1"/>
      <c r="H245" s="1"/>
      <c r="I245" s="1"/>
      <c r="J245" s="1"/>
    </row>
    <row r="246" spans="2:10" ht="13">
      <c r="B246" s="1"/>
      <c r="C246" s="1"/>
      <c r="D246" s="1"/>
      <c r="E246" s="1"/>
      <c r="F246" s="1"/>
      <c r="G246" s="1"/>
      <c r="H246" s="1"/>
      <c r="I246" s="1"/>
      <c r="J246" s="1"/>
    </row>
    <row r="247" spans="2:10" ht="13">
      <c r="B247" s="1"/>
      <c r="C247" s="1"/>
      <c r="D247" s="1"/>
      <c r="E247" s="1"/>
      <c r="F247" s="1"/>
      <c r="G247" s="1"/>
      <c r="H247" s="1"/>
      <c r="I247" s="1"/>
      <c r="J247" s="1"/>
    </row>
    <row r="248" spans="2:10" ht="13">
      <c r="B248" s="1"/>
      <c r="C248" s="1"/>
      <c r="D248" s="1"/>
      <c r="E248" s="1"/>
      <c r="F248" s="1"/>
      <c r="G248" s="1"/>
      <c r="H248" s="1"/>
      <c r="I248" s="1"/>
      <c r="J248" s="1"/>
    </row>
    <row r="249" spans="2:10" ht="13">
      <c r="B249" s="1"/>
      <c r="C249" s="1"/>
      <c r="D249" s="1"/>
      <c r="E249" s="1"/>
      <c r="F249" s="1"/>
      <c r="G249" s="1"/>
      <c r="H249" s="1"/>
      <c r="I249" s="1"/>
      <c r="J249" s="1"/>
    </row>
    <row r="250" spans="2:10" ht="13">
      <c r="B250" s="1"/>
      <c r="C250" s="1"/>
      <c r="D250" s="1"/>
      <c r="E250" s="1"/>
      <c r="F250" s="1"/>
      <c r="G250" s="1"/>
      <c r="H250" s="1"/>
      <c r="I250" s="1"/>
      <c r="J250" s="1"/>
    </row>
    <row r="251" spans="2:10" ht="13">
      <c r="B251" s="1"/>
      <c r="C251" s="1"/>
      <c r="D251" s="1"/>
      <c r="E251" s="1"/>
      <c r="F251" s="1"/>
      <c r="G251" s="1"/>
      <c r="H251" s="1"/>
      <c r="I251" s="1"/>
      <c r="J251" s="1"/>
    </row>
    <row r="252" spans="2:10" ht="13">
      <c r="B252" s="1"/>
      <c r="C252" s="1"/>
      <c r="D252" s="1"/>
      <c r="E252" s="1"/>
      <c r="F252" s="1"/>
      <c r="G252" s="1"/>
      <c r="H252" s="1"/>
      <c r="I252" s="1"/>
      <c r="J252" s="1"/>
    </row>
    <row r="253" spans="2:10" ht="13">
      <c r="B253" s="1"/>
      <c r="C253" s="1"/>
      <c r="D253" s="1"/>
      <c r="E253" s="1"/>
      <c r="F253" s="1"/>
      <c r="G253" s="1"/>
      <c r="H253" s="1"/>
      <c r="I253" s="1"/>
      <c r="J253" s="1"/>
    </row>
    <row r="254" spans="2:10" ht="13">
      <c r="B254" s="1"/>
      <c r="C254" s="1"/>
      <c r="D254" s="1"/>
      <c r="E254" s="1"/>
      <c r="F254" s="1"/>
      <c r="G254" s="1"/>
      <c r="H254" s="1"/>
      <c r="I254" s="1"/>
      <c r="J254" s="1"/>
    </row>
    <row r="255" spans="2:10" ht="13">
      <c r="B255" s="1"/>
      <c r="C255" s="1"/>
      <c r="D255" s="1"/>
      <c r="E255" s="1"/>
      <c r="F255" s="1"/>
      <c r="G255" s="1"/>
      <c r="H255" s="1"/>
      <c r="I255" s="1"/>
      <c r="J255" s="1"/>
    </row>
    <row r="256" spans="2:10" ht="13">
      <c r="B256" s="1"/>
      <c r="C256" s="1"/>
      <c r="D256" s="1"/>
      <c r="E256" s="1"/>
      <c r="F256" s="1"/>
      <c r="G256" s="1"/>
      <c r="H256" s="1"/>
      <c r="I256" s="1"/>
      <c r="J256" s="1"/>
    </row>
    <row r="257" spans="2:10" ht="13">
      <c r="B257" s="1"/>
      <c r="C257" s="1"/>
      <c r="D257" s="1"/>
      <c r="E257" s="1"/>
      <c r="F257" s="1"/>
      <c r="G257" s="1"/>
      <c r="H257" s="1"/>
      <c r="I257" s="1"/>
      <c r="J257" s="1"/>
    </row>
    <row r="258" spans="2:10" ht="13">
      <c r="B258" s="1"/>
      <c r="C258" s="1"/>
      <c r="D258" s="1"/>
      <c r="E258" s="1"/>
      <c r="F258" s="1"/>
      <c r="G258" s="1"/>
      <c r="H258" s="1"/>
      <c r="I258" s="1"/>
      <c r="J258" s="1"/>
    </row>
    <row r="259" spans="2:10" ht="13">
      <c r="B259" s="1"/>
      <c r="C259" s="1"/>
      <c r="D259" s="1"/>
      <c r="E259" s="1"/>
      <c r="F259" s="1"/>
      <c r="G259" s="1"/>
      <c r="H259" s="1"/>
      <c r="I259" s="1"/>
      <c r="J259" s="1"/>
    </row>
    <row r="260" spans="2:10" ht="13">
      <c r="B260" s="1"/>
      <c r="C260" s="1"/>
      <c r="D260" s="1"/>
      <c r="E260" s="1"/>
      <c r="F260" s="1"/>
      <c r="G260" s="1"/>
      <c r="H260" s="1"/>
      <c r="I260" s="1"/>
      <c r="J260" s="1"/>
    </row>
    <row r="261" spans="2:10" ht="13">
      <c r="B261" s="1"/>
      <c r="C261" s="1"/>
      <c r="D261" s="1"/>
      <c r="E261" s="1"/>
      <c r="F261" s="1"/>
      <c r="G261" s="1"/>
      <c r="H261" s="1"/>
      <c r="I261" s="1"/>
      <c r="J261" s="1"/>
    </row>
    <row r="262" spans="2:10" ht="13">
      <c r="B262" s="1"/>
      <c r="C262" s="1"/>
      <c r="D262" s="1"/>
      <c r="E262" s="1"/>
      <c r="F262" s="1"/>
      <c r="G262" s="1"/>
      <c r="H262" s="1"/>
      <c r="I262" s="1"/>
      <c r="J262" s="1"/>
    </row>
    <row r="263" spans="2:10" ht="13">
      <c r="B263" s="1"/>
      <c r="C263" s="1"/>
      <c r="D263" s="1"/>
      <c r="E263" s="1"/>
      <c r="F263" s="1"/>
      <c r="G263" s="1"/>
      <c r="H263" s="1"/>
      <c r="I263" s="1"/>
      <c r="J263" s="1"/>
    </row>
    <row r="264" spans="2:10" ht="13">
      <c r="B264" s="1"/>
      <c r="C264" s="1"/>
      <c r="D264" s="1"/>
      <c r="E264" s="1"/>
      <c r="F264" s="1"/>
      <c r="G264" s="1"/>
      <c r="H264" s="1"/>
      <c r="I264" s="1"/>
      <c r="J264" s="1"/>
    </row>
    <row r="265" spans="2:10" ht="13">
      <c r="B265" s="1"/>
      <c r="C265" s="1"/>
      <c r="D265" s="1"/>
      <c r="E265" s="1"/>
      <c r="F265" s="1"/>
      <c r="G265" s="1"/>
      <c r="H265" s="1"/>
      <c r="I265" s="1"/>
      <c r="J265" s="1"/>
    </row>
    <row r="266" spans="2:10" ht="13">
      <c r="B266" s="1"/>
      <c r="C266" s="1"/>
      <c r="D266" s="1"/>
      <c r="E266" s="1"/>
      <c r="F266" s="1"/>
      <c r="G266" s="1"/>
      <c r="H266" s="1"/>
      <c r="I266" s="1"/>
      <c r="J266" s="1"/>
    </row>
    <row r="267" spans="2:10" ht="13">
      <c r="B267" s="1"/>
      <c r="C267" s="1"/>
      <c r="D267" s="1"/>
      <c r="E267" s="1"/>
      <c r="F267" s="1"/>
      <c r="G267" s="1"/>
      <c r="H267" s="1"/>
      <c r="I267" s="1"/>
      <c r="J267" s="1"/>
    </row>
    <row r="268" spans="2:10" ht="13">
      <c r="B268" s="1"/>
      <c r="C268" s="1"/>
      <c r="D268" s="1"/>
      <c r="E268" s="1"/>
      <c r="F268" s="1"/>
      <c r="G268" s="1"/>
      <c r="H268" s="1"/>
      <c r="I268" s="1"/>
      <c r="J268" s="1"/>
    </row>
    <row r="269" spans="2:10" ht="13">
      <c r="B269" s="1"/>
      <c r="C269" s="1"/>
      <c r="D269" s="1"/>
      <c r="E269" s="1"/>
      <c r="F269" s="1"/>
      <c r="G269" s="1"/>
      <c r="H269" s="1"/>
      <c r="I269" s="1"/>
      <c r="J269" s="1"/>
    </row>
    <row r="270" spans="2:10" ht="13">
      <c r="B270" s="1"/>
      <c r="C270" s="1"/>
      <c r="D270" s="1"/>
      <c r="E270" s="1"/>
      <c r="F270" s="1"/>
      <c r="G270" s="1"/>
      <c r="H270" s="1"/>
      <c r="I270" s="1"/>
      <c r="J270" s="1"/>
    </row>
    <row r="271" spans="2:10" ht="13">
      <c r="B271" s="1"/>
      <c r="C271" s="1"/>
      <c r="D271" s="1"/>
      <c r="E271" s="1"/>
      <c r="F271" s="1"/>
      <c r="G271" s="1"/>
      <c r="H271" s="1"/>
      <c r="I271" s="1"/>
      <c r="J271" s="1"/>
    </row>
    <row r="272" spans="2:10" ht="13">
      <c r="B272" s="1"/>
      <c r="C272" s="1"/>
      <c r="D272" s="1"/>
      <c r="E272" s="1"/>
      <c r="F272" s="1"/>
      <c r="G272" s="1"/>
      <c r="H272" s="1"/>
      <c r="I272" s="1"/>
      <c r="J272" s="1"/>
    </row>
    <row r="273" spans="2:10" ht="13">
      <c r="B273" s="1"/>
      <c r="C273" s="1"/>
      <c r="D273" s="1"/>
      <c r="E273" s="1"/>
      <c r="F273" s="1"/>
      <c r="G273" s="1"/>
      <c r="H273" s="1"/>
      <c r="I273" s="1"/>
      <c r="J273" s="1"/>
    </row>
    <row r="274" spans="2:10" ht="13">
      <c r="B274" s="1"/>
      <c r="C274" s="1"/>
      <c r="D274" s="1"/>
      <c r="E274" s="1"/>
      <c r="F274" s="1"/>
      <c r="G274" s="1"/>
      <c r="H274" s="1"/>
      <c r="I274" s="1"/>
      <c r="J274" s="1"/>
    </row>
    <row r="275" spans="2:10" ht="13">
      <c r="B275" s="1"/>
      <c r="C275" s="1"/>
      <c r="D275" s="1"/>
      <c r="E275" s="1"/>
      <c r="F275" s="1"/>
      <c r="G275" s="1"/>
      <c r="H275" s="1"/>
      <c r="I275" s="1"/>
      <c r="J275" s="1"/>
    </row>
    <row r="276" spans="2:10" ht="13">
      <c r="B276" s="1"/>
      <c r="C276" s="1"/>
      <c r="D276" s="1"/>
      <c r="E276" s="1"/>
      <c r="F276" s="1"/>
      <c r="G276" s="1"/>
      <c r="H276" s="1"/>
      <c r="I276" s="1"/>
      <c r="J276" s="1"/>
    </row>
    <row r="277" spans="2:10" ht="13">
      <c r="B277" s="1"/>
      <c r="C277" s="1"/>
      <c r="D277" s="1"/>
      <c r="E277" s="1"/>
      <c r="F277" s="1"/>
      <c r="G277" s="1"/>
      <c r="H277" s="1"/>
      <c r="I277" s="1"/>
      <c r="J277" s="1"/>
    </row>
    <row r="278" spans="2:10" ht="13">
      <c r="B278" s="1"/>
      <c r="C278" s="1"/>
      <c r="D278" s="1"/>
      <c r="E278" s="1"/>
      <c r="F278" s="1"/>
      <c r="G278" s="1"/>
      <c r="H278" s="1"/>
      <c r="I278" s="1"/>
      <c r="J278" s="1"/>
    </row>
    <row r="279" spans="2:10" ht="13">
      <c r="B279" s="1"/>
      <c r="C279" s="1"/>
      <c r="D279" s="1"/>
      <c r="E279" s="1"/>
      <c r="F279" s="1"/>
      <c r="G279" s="1"/>
      <c r="H279" s="1"/>
      <c r="I279" s="1"/>
      <c r="J279" s="1"/>
    </row>
    <row r="280" spans="2:10" ht="13">
      <c r="B280" s="1"/>
      <c r="C280" s="1"/>
      <c r="D280" s="1"/>
      <c r="E280" s="1"/>
      <c r="F280" s="1"/>
      <c r="G280" s="1"/>
      <c r="H280" s="1"/>
      <c r="I280" s="1"/>
      <c r="J280" s="1"/>
    </row>
    <row r="281" spans="2:10" ht="13">
      <c r="B281" s="1"/>
      <c r="C281" s="1"/>
      <c r="D281" s="1"/>
      <c r="E281" s="1"/>
      <c r="F281" s="1"/>
      <c r="G281" s="1"/>
      <c r="H281" s="1"/>
      <c r="I281" s="1"/>
      <c r="J281" s="1"/>
    </row>
    <row r="282" spans="2:10" ht="13">
      <c r="B282" s="1"/>
      <c r="C282" s="1"/>
      <c r="D282" s="1"/>
      <c r="E282" s="1"/>
      <c r="F282" s="1"/>
      <c r="G282" s="1"/>
      <c r="H282" s="1"/>
      <c r="I282" s="1"/>
      <c r="J282" s="1"/>
    </row>
    <row r="283" spans="2:10" ht="13">
      <c r="B283" s="1"/>
      <c r="C283" s="1"/>
      <c r="D283" s="1"/>
      <c r="E283" s="1"/>
      <c r="F283" s="1"/>
      <c r="G283" s="1"/>
      <c r="H283" s="1"/>
      <c r="I283" s="1"/>
      <c r="J283" s="1"/>
    </row>
    <row r="284" spans="2:10" ht="13">
      <c r="B284" s="1"/>
      <c r="C284" s="1"/>
      <c r="D284" s="1"/>
      <c r="E284" s="1"/>
      <c r="F284" s="1"/>
      <c r="G284" s="1"/>
      <c r="H284" s="1"/>
      <c r="I284" s="1"/>
      <c r="J284" s="1"/>
    </row>
    <row r="285" spans="2:10" ht="13">
      <c r="B285" s="1"/>
      <c r="C285" s="1"/>
      <c r="D285" s="1"/>
      <c r="E285" s="1"/>
      <c r="F285" s="1"/>
      <c r="G285" s="1"/>
      <c r="H285" s="1"/>
      <c r="I285" s="1"/>
      <c r="J285" s="1"/>
    </row>
    <row r="286" spans="2:10" ht="13">
      <c r="B286" s="1"/>
      <c r="C286" s="1"/>
      <c r="D286" s="1"/>
      <c r="E286" s="1"/>
      <c r="F286" s="1"/>
      <c r="G286" s="1"/>
      <c r="H286" s="1"/>
      <c r="I286" s="1"/>
      <c r="J286" s="1"/>
    </row>
    <row r="287" spans="2:10" ht="13">
      <c r="B287" s="1"/>
      <c r="C287" s="1"/>
      <c r="D287" s="1"/>
      <c r="E287" s="1"/>
      <c r="F287" s="1"/>
      <c r="G287" s="1"/>
      <c r="H287" s="1"/>
      <c r="I287" s="1"/>
      <c r="J287" s="1"/>
    </row>
    <row r="288" spans="2:10" ht="13">
      <c r="B288" s="1"/>
      <c r="C288" s="1"/>
      <c r="D288" s="1"/>
      <c r="E288" s="1"/>
      <c r="F288" s="1"/>
      <c r="G288" s="1"/>
      <c r="H288" s="1"/>
      <c r="I288" s="1"/>
      <c r="J288" s="1"/>
    </row>
    <row r="289" spans="2:10" ht="13">
      <c r="B289" s="1"/>
      <c r="C289" s="1"/>
      <c r="D289" s="1"/>
      <c r="E289" s="1"/>
      <c r="F289" s="1"/>
      <c r="G289" s="1"/>
      <c r="H289" s="1"/>
      <c r="I289" s="1"/>
      <c r="J289" s="1"/>
    </row>
    <row r="290" spans="2:10" ht="13">
      <c r="B290" s="1"/>
      <c r="C290" s="1"/>
      <c r="D290" s="1"/>
      <c r="E290" s="1"/>
      <c r="F290" s="1"/>
      <c r="G290" s="1"/>
      <c r="H290" s="1"/>
      <c r="I290" s="1"/>
      <c r="J290" s="1"/>
    </row>
    <row r="291" spans="2:10" ht="13">
      <c r="B291" s="1"/>
      <c r="C291" s="1"/>
      <c r="D291" s="1"/>
      <c r="E291" s="1"/>
      <c r="F291" s="1"/>
      <c r="G291" s="1"/>
      <c r="H291" s="1"/>
      <c r="I291" s="1"/>
      <c r="J291" s="1"/>
    </row>
    <row r="292" spans="2:10" ht="13">
      <c r="B292" s="1"/>
      <c r="C292" s="1"/>
      <c r="D292" s="1"/>
      <c r="E292" s="1"/>
      <c r="F292" s="1"/>
      <c r="G292" s="1"/>
      <c r="H292" s="1"/>
      <c r="I292" s="1"/>
      <c r="J292" s="1"/>
    </row>
    <row r="293" spans="2:10" ht="13">
      <c r="B293" s="1"/>
      <c r="C293" s="1"/>
      <c r="D293" s="1"/>
      <c r="E293" s="1"/>
      <c r="F293" s="1"/>
      <c r="G293" s="1"/>
      <c r="H293" s="1"/>
      <c r="I293" s="1"/>
      <c r="J293" s="1"/>
    </row>
    <row r="294" spans="2:10" ht="13">
      <c r="B294" s="1"/>
      <c r="C294" s="1"/>
      <c r="D294" s="1"/>
      <c r="E294" s="1"/>
      <c r="F294" s="1"/>
      <c r="G294" s="1"/>
      <c r="H294" s="1"/>
      <c r="I294" s="1"/>
      <c r="J294" s="1"/>
    </row>
    <row r="295" spans="2:10" ht="13">
      <c r="B295" s="1"/>
      <c r="C295" s="1"/>
      <c r="D295" s="1"/>
      <c r="E295" s="1"/>
      <c r="F295" s="1"/>
      <c r="G295" s="1"/>
      <c r="H295" s="1"/>
      <c r="I295" s="1"/>
      <c r="J295" s="1"/>
    </row>
    <row r="296" spans="2:10" ht="13">
      <c r="B296" s="1"/>
      <c r="C296" s="1"/>
      <c r="D296" s="1"/>
      <c r="E296" s="1"/>
      <c r="F296" s="1"/>
      <c r="G296" s="1"/>
      <c r="H296" s="1"/>
      <c r="I296" s="1"/>
      <c r="J296" s="1"/>
    </row>
    <row r="297" spans="2:10" ht="13">
      <c r="B297" s="1"/>
      <c r="C297" s="1"/>
      <c r="D297" s="1"/>
      <c r="E297" s="1"/>
      <c r="F297" s="1"/>
      <c r="G297" s="1"/>
      <c r="H297" s="1"/>
      <c r="I297" s="1"/>
      <c r="J297" s="1"/>
    </row>
    <row r="298" spans="2:10" ht="13">
      <c r="B298" s="1"/>
      <c r="C298" s="1"/>
      <c r="D298" s="1"/>
      <c r="E298" s="1"/>
      <c r="F298" s="1"/>
      <c r="G298" s="1"/>
      <c r="H298" s="1"/>
      <c r="I298" s="1"/>
      <c r="J298" s="1"/>
    </row>
    <row r="299" spans="2:10" ht="13">
      <c r="B299" s="1"/>
      <c r="C299" s="1"/>
      <c r="D299" s="1"/>
      <c r="E299" s="1"/>
      <c r="F299" s="1"/>
      <c r="G299" s="1"/>
      <c r="H299" s="1"/>
      <c r="I299" s="1"/>
      <c r="J299" s="1"/>
    </row>
    <row r="300" spans="2:10" ht="13">
      <c r="B300" s="1"/>
      <c r="C300" s="1"/>
      <c r="D300" s="1"/>
      <c r="E300" s="1"/>
      <c r="F300" s="1"/>
      <c r="G300" s="1"/>
      <c r="H300" s="1"/>
      <c r="I300" s="1"/>
      <c r="J300" s="1"/>
    </row>
    <row r="301" spans="2:10" ht="13">
      <c r="B301" s="1"/>
      <c r="C301" s="1"/>
      <c r="D301" s="1"/>
      <c r="E301" s="1"/>
      <c r="F301" s="1"/>
      <c r="G301" s="1"/>
      <c r="H301" s="1"/>
      <c r="I301" s="1"/>
      <c r="J301" s="1"/>
    </row>
    <row r="302" spans="2:10" ht="13">
      <c r="B302" s="1"/>
      <c r="C302" s="1"/>
      <c r="D302" s="1"/>
      <c r="E302" s="1"/>
      <c r="F302" s="1"/>
      <c r="G302" s="1"/>
      <c r="H302" s="1"/>
      <c r="I302" s="1"/>
      <c r="J302" s="1"/>
    </row>
    <row r="303" spans="2:10" ht="13">
      <c r="B303" s="1"/>
      <c r="C303" s="1"/>
      <c r="D303" s="1"/>
      <c r="E303" s="1"/>
      <c r="F303" s="1"/>
      <c r="G303" s="1"/>
      <c r="H303" s="1"/>
      <c r="I303" s="1"/>
      <c r="J303" s="1"/>
    </row>
    <row r="304" spans="2:10" ht="13">
      <c r="B304" s="1"/>
      <c r="C304" s="1"/>
      <c r="D304" s="1"/>
      <c r="E304" s="1"/>
      <c r="F304" s="1"/>
      <c r="G304" s="1"/>
      <c r="H304" s="1"/>
      <c r="I304" s="1"/>
      <c r="J304" s="1"/>
    </row>
    <row r="305" spans="2:10" ht="13">
      <c r="B305" s="1"/>
      <c r="C305" s="1"/>
      <c r="D305" s="1"/>
      <c r="E305" s="1"/>
      <c r="F305" s="1"/>
      <c r="G305" s="1"/>
      <c r="H305" s="1"/>
      <c r="I305" s="1"/>
      <c r="J305" s="1"/>
    </row>
    <row r="306" spans="2:10" ht="13">
      <c r="B306" s="1"/>
      <c r="C306" s="1"/>
      <c r="D306" s="1"/>
      <c r="E306" s="1"/>
      <c r="F306" s="1"/>
      <c r="G306" s="1"/>
      <c r="H306" s="1"/>
      <c r="I306" s="1"/>
      <c r="J306" s="1"/>
    </row>
    <row r="307" spans="2:10" ht="13">
      <c r="B307" s="1"/>
      <c r="C307" s="1"/>
      <c r="D307" s="1"/>
      <c r="E307" s="1"/>
      <c r="F307" s="1"/>
      <c r="G307" s="1"/>
      <c r="H307" s="1"/>
      <c r="I307" s="1"/>
      <c r="J307" s="1"/>
    </row>
    <row r="308" spans="2:10" ht="13">
      <c r="B308" s="1"/>
      <c r="C308" s="1"/>
      <c r="D308" s="1"/>
      <c r="E308" s="1"/>
      <c r="F308" s="1"/>
      <c r="G308" s="1"/>
      <c r="H308" s="1"/>
      <c r="I308" s="1"/>
      <c r="J308" s="1"/>
    </row>
    <row r="309" spans="2:10" ht="13">
      <c r="B309" s="1"/>
      <c r="C309" s="1"/>
      <c r="D309" s="1"/>
      <c r="E309" s="1"/>
      <c r="F309" s="1"/>
      <c r="G309" s="1"/>
      <c r="H309" s="1"/>
      <c r="I309" s="1"/>
      <c r="J309" s="1"/>
    </row>
    <row r="310" spans="2:10" ht="13">
      <c r="B310" s="1"/>
      <c r="C310" s="1"/>
      <c r="D310" s="1"/>
      <c r="E310" s="1"/>
      <c r="F310" s="1"/>
      <c r="G310" s="1"/>
      <c r="H310" s="1"/>
      <c r="I310" s="1"/>
      <c r="J310" s="1"/>
    </row>
    <row r="311" spans="2:10" ht="13">
      <c r="B311" s="1"/>
      <c r="C311" s="1"/>
      <c r="D311" s="1"/>
      <c r="E311" s="1"/>
      <c r="F311" s="1"/>
      <c r="G311" s="1"/>
      <c r="H311" s="1"/>
      <c r="I311" s="1"/>
      <c r="J311" s="1"/>
    </row>
    <row r="312" spans="2:10" ht="13">
      <c r="B312" s="1"/>
      <c r="C312" s="1"/>
      <c r="D312" s="1"/>
      <c r="E312" s="1"/>
      <c r="F312" s="1"/>
      <c r="G312" s="1"/>
      <c r="H312" s="1"/>
      <c r="I312" s="1"/>
      <c r="J312" s="1"/>
    </row>
    <row r="313" spans="2:10" ht="13">
      <c r="B313" s="1"/>
      <c r="C313" s="1"/>
      <c r="D313" s="1"/>
      <c r="E313" s="1"/>
      <c r="F313" s="1"/>
      <c r="G313" s="1"/>
      <c r="H313" s="1"/>
      <c r="I313" s="1"/>
      <c r="J313" s="1"/>
    </row>
    <row r="314" spans="2:10" ht="13">
      <c r="B314" s="1"/>
      <c r="C314" s="1"/>
      <c r="D314" s="1"/>
      <c r="E314" s="1"/>
      <c r="F314" s="1"/>
      <c r="G314" s="1"/>
      <c r="H314" s="1"/>
      <c r="I314" s="1"/>
      <c r="J314" s="1"/>
    </row>
    <row r="315" spans="2:10" ht="13">
      <c r="B315" s="1"/>
      <c r="C315" s="1"/>
      <c r="D315" s="1"/>
      <c r="E315" s="1"/>
      <c r="F315" s="1"/>
      <c r="G315" s="1"/>
      <c r="H315" s="1"/>
      <c r="I315" s="1"/>
      <c r="J315" s="1"/>
    </row>
    <row r="316" spans="2:10" ht="13">
      <c r="B316" s="1"/>
      <c r="C316" s="1"/>
      <c r="D316" s="1"/>
      <c r="E316" s="1"/>
      <c r="F316" s="1"/>
      <c r="G316" s="1"/>
      <c r="H316" s="1"/>
      <c r="I316" s="1"/>
      <c r="J316" s="1"/>
    </row>
    <row r="317" spans="2:10" ht="13">
      <c r="B317" s="1"/>
      <c r="C317" s="1"/>
      <c r="D317" s="1"/>
      <c r="E317" s="1"/>
      <c r="F317" s="1"/>
      <c r="G317" s="1"/>
      <c r="H317" s="1"/>
      <c r="I317" s="1"/>
      <c r="J317" s="1"/>
    </row>
    <row r="318" spans="2:10" ht="13">
      <c r="B318" s="1"/>
      <c r="C318" s="1"/>
      <c r="D318" s="1"/>
      <c r="E318" s="1"/>
      <c r="F318" s="1"/>
      <c r="G318" s="1"/>
      <c r="H318" s="1"/>
      <c r="I318" s="1"/>
      <c r="J318" s="1"/>
    </row>
    <row r="319" spans="2:10" ht="13">
      <c r="B319" s="1"/>
      <c r="C319" s="1"/>
      <c r="D319" s="1"/>
      <c r="E319" s="1"/>
      <c r="F319" s="1"/>
      <c r="G319" s="1"/>
      <c r="H319" s="1"/>
      <c r="I319" s="1"/>
      <c r="J319" s="1"/>
    </row>
    <row r="320" spans="2:10" ht="13">
      <c r="B320" s="1"/>
      <c r="C320" s="1"/>
      <c r="D320" s="1"/>
      <c r="E320" s="1"/>
      <c r="F320" s="1"/>
      <c r="G320" s="1"/>
      <c r="H320" s="1"/>
      <c r="I320" s="1"/>
      <c r="J320" s="1"/>
    </row>
    <row r="321" spans="2:10" ht="13">
      <c r="B321" s="1"/>
      <c r="C321" s="1"/>
      <c r="D321" s="1"/>
      <c r="E321" s="1"/>
      <c r="F321" s="1"/>
      <c r="G321" s="1"/>
      <c r="H321" s="1"/>
      <c r="I321" s="1"/>
      <c r="J321" s="1"/>
    </row>
    <row r="322" spans="2:10" ht="13">
      <c r="B322" s="1"/>
      <c r="C322" s="1"/>
      <c r="D322" s="1"/>
      <c r="E322" s="1"/>
      <c r="F322" s="1"/>
      <c r="G322" s="1"/>
      <c r="H322" s="1"/>
      <c r="I322" s="1"/>
      <c r="J322" s="1"/>
    </row>
    <row r="323" spans="2:10" ht="13">
      <c r="B323" s="1"/>
      <c r="C323" s="1"/>
      <c r="D323" s="1"/>
      <c r="E323" s="1"/>
      <c r="F323" s="1"/>
      <c r="G323" s="1"/>
      <c r="H323" s="1"/>
      <c r="I323" s="1"/>
      <c r="J323" s="1"/>
    </row>
    <row r="324" spans="2:10" ht="13">
      <c r="B324" s="1"/>
      <c r="C324" s="1"/>
      <c r="D324" s="1"/>
      <c r="E324" s="1"/>
      <c r="F324" s="1"/>
      <c r="G324" s="1"/>
      <c r="H324" s="1"/>
      <c r="I324" s="1"/>
      <c r="J324" s="1"/>
    </row>
    <row r="325" spans="2:10" ht="13">
      <c r="B325" s="1"/>
      <c r="C325" s="1"/>
      <c r="D325" s="1"/>
      <c r="E325" s="1"/>
      <c r="F325" s="1"/>
      <c r="G325" s="1"/>
      <c r="H325" s="1"/>
      <c r="I325" s="1"/>
      <c r="J325" s="1"/>
    </row>
    <row r="326" spans="2:10" ht="13">
      <c r="B326" s="1"/>
      <c r="C326" s="1"/>
      <c r="D326" s="1"/>
      <c r="E326" s="1"/>
      <c r="F326" s="1"/>
      <c r="G326" s="1"/>
      <c r="H326" s="1"/>
      <c r="I326" s="1"/>
      <c r="J326" s="1"/>
    </row>
    <row r="327" spans="2:10" ht="13">
      <c r="B327" s="1"/>
      <c r="C327" s="1"/>
      <c r="D327" s="1"/>
      <c r="E327" s="1"/>
      <c r="F327" s="1"/>
      <c r="G327" s="1"/>
      <c r="H327" s="1"/>
      <c r="I327" s="1"/>
      <c r="J327" s="1"/>
    </row>
    <row r="328" spans="2:10" ht="13">
      <c r="B328" s="1"/>
      <c r="C328" s="1"/>
      <c r="D328" s="1"/>
      <c r="E328" s="1"/>
      <c r="F328" s="1"/>
      <c r="G328" s="1"/>
      <c r="H328" s="1"/>
      <c r="I328" s="1"/>
      <c r="J328" s="1"/>
    </row>
    <row r="329" spans="2:10" ht="13">
      <c r="B329" s="1"/>
      <c r="C329" s="1"/>
      <c r="D329" s="1"/>
      <c r="E329" s="1"/>
      <c r="F329" s="1"/>
      <c r="G329" s="1"/>
      <c r="H329" s="1"/>
      <c r="I329" s="1"/>
      <c r="J329" s="1"/>
    </row>
    <row r="330" spans="2:10" ht="13">
      <c r="B330" s="1"/>
      <c r="C330" s="1"/>
      <c r="D330" s="1"/>
      <c r="E330" s="1"/>
      <c r="F330" s="1"/>
      <c r="G330" s="1"/>
      <c r="H330" s="1"/>
      <c r="I330" s="1"/>
      <c r="J330" s="1"/>
    </row>
    <row r="331" spans="2:10" ht="13">
      <c r="B331" s="1"/>
      <c r="C331" s="1"/>
      <c r="D331" s="1"/>
      <c r="E331" s="1"/>
      <c r="F331" s="1"/>
      <c r="G331" s="1"/>
      <c r="H331" s="1"/>
      <c r="I331" s="1"/>
      <c r="J331" s="1"/>
    </row>
    <row r="332" spans="2:10" ht="13">
      <c r="B332" s="1"/>
      <c r="C332" s="1"/>
      <c r="D332" s="1"/>
      <c r="E332" s="1"/>
      <c r="F332" s="1"/>
      <c r="G332" s="1"/>
      <c r="H332" s="1"/>
      <c r="I332" s="1"/>
      <c r="J332" s="1"/>
    </row>
    <row r="333" spans="2:10" ht="13">
      <c r="B333" s="1"/>
      <c r="C333" s="1"/>
      <c r="D333" s="1"/>
      <c r="E333" s="1"/>
      <c r="F333" s="1"/>
      <c r="G333" s="1"/>
      <c r="H333" s="1"/>
      <c r="I333" s="1"/>
      <c r="J333" s="1"/>
    </row>
    <row r="334" spans="2:10" ht="13">
      <c r="B334" s="1"/>
      <c r="C334" s="1"/>
      <c r="D334" s="1"/>
      <c r="E334" s="1"/>
      <c r="F334" s="1"/>
      <c r="G334" s="1"/>
      <c r="H334" s="1"/>
      <c r="I334" s="1"/>
      <c r="J334" s="1"/>
    </row>
    <row r="335" spans="2:10" ht="13">
      <c r="B335" s="1"/>
      <c r="C335" s="1"/>
      <c r="D335" s="1"/>
      <c r="E335" s="1"/>
      <c r="F335" s="1"/>
      <c r="G335" s="1"/>
      <c r="H335" s="1"/>
      <c r="I335" s="1"/>
      <c r="J335" s="1"/>
    </row>
    <row r="336" spans="2:10" ht="13">
      <c r="B336" s="1"/>
      <c r="C336" s="1"/>
      <c r="D336" s="1"/>
      <c r="E336" s="1"/>
      <c r="F336" s="1"/>
      <c r="G336" s="1"/>
      <c r="H336" s="1"/>
      <c r="I336" s="1"/>
      <c r="J336" s="1"/>
    </row>
    <row r="337" spans="2:10" ht="13">
      <c r="B337" s="1"/>
      <c r="C337" s="1"/>
      <c r="D337" s="1"/>
      <c r="E337" s="1"/>
      <c r="F337" s="1"/>
      <c r="G337" s="1"/>
      <c r="H337" s="1"/>
      <c r="I337" s="1"/>
      <c r="J337" s="1"/>
    </row>
    <row r="338" spans="2:10" ht="13">
      <c r="B338" s="1"/>
      <c r="C338" s="1"/>
      <c r="D338" s="1"/>
      <c r="E338" s="1"/>
      <c r="F338" s="1"/>
      <c r="G338" s="1"/>
      <c r="H338" s="1"/>
      <c r="I338" s="1"/>
      <c r="J338" s="1"/>
    </row>
    <row r="339" spans="2:10" ht="13">
      <c r="B339" s="1"/>
      <c r="C339" s="1"/>
      <c r="D339" s="1"/>
      <c r="E339" s="1"/>
      <c r="F339" s="1"/>
      <c r="G339" s="1"/>
      <c r="H339" s="1"/>
      <c r="I339" s="1"/>
      <c r="J339" s="1"/>
    </row>
    <row r="340" spans="2:10" ht="13">
      <c r="B340" s="1"/>
      <c r="C340" s="1"/>
      <c r="D340" s="1"/>
      <c r="E340" s="1"/>
      <c r="F340" s="1"/>
      <c r="G340" s="1"/>
      <c r="H340" s="1"/>
      <c r="I340" s="1"/>
      <c r="J340" s="1"/>
    </row>
    <row r="341" spans="2:10" ht="13">
      <c r="B341" s="1"/>
      <c r="C341" s="1"/>
      <c r="D341" s="1"/>
      <c r="E341" s="1"/>
      <c r="F341" s="1"/>
      <c r="G341" s="1"/>
      <c r="H341" s="1"/>
      <c r="I341" s="1"/>
      <c r="J341" s="1"/>
    </row>
    <row r="342" spans="2:10" ht="13">
      <c r="B342" s="1"/>
      <c r="C342" s="1"/>
      <c r="D342" s="1"/>
      <c r="E342" s="1"/>
      <c r="F342" s="1"/>
      <c r="G342" s="1"/>
      <c r="H342" s="1"/>
      <c r="I342" s="1"/>
      <c r="J342" s="1"/>
    </row>
    <row r="343" spans="2:10" ht="13">
      <c r="B343" s="1"/>
      <c r="C343" s="1"/>
      <c r="D343" s="1"/>
      <c r="E343" s="1"/>
      <c r="F343" s="1"/>
      <c r="G343" s="1"/>
      <c r="H343" s="1"/>
      <c r="I343" s="1"/>
      <c r="J343" s="1"/>
    </row>
    <row r="344" spans="2:10" ht="13">
      <c r="B344" s="1"/>
      <c r="C344" s="1"/>
      <c r="D344" s="1"/>
      <c r="E344" s="1"/>
      <c r="F344" s="1"/>
      <c r="G344" s="1"/>
      <c r="H344" s="1"/>
      <c r="I344" s="1"/>
      <c r="J344" s="1"/>
    </row>
    <row r="345" spans="2:10" ht="13">
      <c r="B345" s="1"/>
      <c r="C345" s="1"/>
      <c r="D345" s="1"/>
      <c r="E345" s="1"/>
      <c r="F345" s="1"/>
      <c r="G345" s="1"/>
      <c r="H345" s="1"/>
      <c r="I345" s="1"/>
      <c r="J345" s="1"/>
    </row>
    <row r="346" spans="2:10" ht="13">
      <c r="B346" s="1"/>
      <c r="C346" s="1"/>
      <c r="D346" s="1"/>
      <c r="E346" s="1"/>
      <c r="F346" s="1"/>
      <c r="G346" s="1"/>
      <c r="H346" s="1"/>
      <c r="I346" s="1"/>
      <c r="J346" s="1"/>
    </row>
    <row r="347" spans="2:10" ht="13">
      <c r="B347" s="1"/>
      <c r="C347" s="1"/>
      <c r="D347" s="1"/>
      <c r="E347" s="1"/>
      <c r="F347" s="1"/>
      <c r="G347" s="1"/>
      <c r="H347" s="1"/>
      <c r="I347" s="1"/>
      <c r="J347" s="1"/>
    </row>
    <row r="348" spans="2:10" ht="13">
      <c r="B348" s="1"/>
      <c r="C348" s="1"/>
      <c r="D348" s="1"/>
      <c r="E348" s="1"/>
      <c r="F348" s="1"/>
      <c r="G348" s="1"/>
      <c r="H348" s="1"/>
      <c r="I348" s="1"/>
      <c r="J348" s="1"/>
    </row>
    <row r="349" spans="2:10" ht="13">
      <c r="B349" s="1"/>
      <c r="C349" s="1"/>
      <c r="D349" s="1"/>
      <c r="E349" s="1"/>
      <c r="F349" s="1"/>
      <c r="G349" s="1"/>
      <c r="H349" s="1"/>
      <c r="I349" s="1"/>
      <c r="J349" s="1"/>
    </row>
    <row r="350" spans="2:10" ht="13">
      <c r="B350" s="1"/>
      <c r="C350" s="1"/>
      <c r="D350" s="1"/>
      <c r="E350" s="1"/>
      <c r="F350" s="1"/>
      <c r="G350" s="1"/>
      <c r="H350" s="1"/>
      <c r="I350" s="1"/>
      <c r="J350" s="1"/>
    </row>
    <row r="351" spans="2:10" ht="13">
      <c r="B351" s="1"/>
      <c r="C351" s="1"/>
      <c r="D351" s="1"/>
      <c r="E351" s="1"/>
      <c r="F351" s="1"/>
      <c r="G351" s="1"/>
      <c r="H351" s="1"/>
      <c r="I351" s="1"/>
      <c r="J351" s="1"/>
    </row>
    <row r="352" spans="2:10" ht="13">
      <c r="B352" s="1"/>
      <c r="C352" s="1"/>
      <c r="D352" s="1"/>
      <c r="E352" s="1"/>
      <c r="F352" s="1"/>
      <c r="G352" s="1"/>
      <c r="H352" s="1"/>
      <c r="I352" s="1"/>
      <c r="J352" s="1"/>
    </row>
    <row r="353" spans="2:10" ht="13">
      <c r="B353" s="1"/>
      <c r="C353" s="1"/>
      <c r="D353" s="1"/>
      <c r="E353" s="1"/>
      <c r="F353" s="1"/>
      <c r="G353" s="1"/>
      <c r="H353" s="1"/>
      <c r="I353" s="1"/>
      <c r="J353" s="1"/>
    </row>
    <row r="354" spans="2:10" ht="13">
      <c r="B354" s="1"/>
      <c r="C354" s="1"/>
      <c r="D354" s="1"/>
      <c r="E354" s="1"/>
      <c r="F354" s="1"/>
      <c r="G354" s="1"/>
      <c r="H354" s="1"/>
      <c r="I354" s="1"/>
      <c r="J354" s="1"/>
    </row>
    <row r="355" spans="2:10" ht="13">
      <c r="B355" s="1"/>
      <c r="C355" s="1"/>
      <c r="D355" s="1"/>
      <c r="E355" s="1"/>
      <c r="F355" s="1"/>
      <c r="G355" s="1"/>
      <c r="H355" s="1"/>
      <c r="I355" s="1"/>
      <c r="J355" s="1"/>
    </row>
    <row r="356" spans="2:10" ht="13">
      <c r="B356" s="1"/>
      <c r="C356" s="1"/>
      <c r="D356" s="1"/>
      <c r="E356" s="1"/>
      <c r="F356" s="1"/>
      <c r="G356" s="1"/>
      <c r="H356" s="1"/>
      <c r="I356" s="1"/>
      <c r="J356" s="1"/>
    </row>
    <row r="357" spans="2:10" ht="13">
      <c r="B357" s="1"/>
      <c r="C357" s="1"/>
      <c r="D357" s="1"/>
      <c r="E357" s="1"/>
      <c r="F357" s="1"/>
      <c r="G357" s="1"/>
      <c r="H357" s="1"/>
      <c r="I357" s="1"/>
      <c r="J357" s="1"/>
    </row>
    <row r="358" spans="2:10" ht="13">
      <c r="B358" s="1"/>
      <c r="C358" s="1"/>
      <c r="D358" s="1"/>
      <c r="E358" s="1"/>
      <c r="F358" s="1"/>
      <c r="G358" s="1"/>
      <c r="H358" s="1"/>
      <c r="I358" s="1"/>
      <c r="J358" s="1"/>
    </row>
    <row r="359" spans="2:10" ht="13">
      <c r="B359" s="1"/>
      <c r="C359" s="1"/>
      <c r="D359" s="1"/>
      <c r="E359" s="1"/>
      <c r="F359" s="1"/>
      <c r="G359" s="1"/>
      <c r="H359" s="1"/>
      <c r="I359" s="1"/>
      <c r="J359" s="1"/>
    </row>
    <row r="360" spans="2:10" ht="13">
      <c r="B360" s="1"/>
      <c r="C360" s="1"/>
      <c r="D360" s="1"/>
      <c r="E360" s="1"/>
      <c r="F360" s="1"/>
      <c r="G360" s="1"/>
      <c r="H360" s="1"/>
      <c r="I360" s="1"/>
      <c r="J360" s="1"/>
    </row>
    <row r="361" spans="2:10" ht="13">
      <c r="B361" s="1"/>
      <c r="C361" s="1"/>
      <c r="D361" s="1"/>
      <c r="E361" s="1"/>
      <c r="F361" s="1"/>
      <c r="G361" s="1"/>
      <c r="H361" s="1"/>
      <c r="I361" s="1"/>
      <c r="J361" s="1"/>
    </row>
    <row r="362" spans="2:10" ht="13">
      <c r="B362" s="1"/>
      <c r="C362" s="1"/>
      <c r="D362" s="1"/>
      <c r="E362" s="1"/>
      <c r="F362" s="1"/>
      <c r="G362" s="1"/>
      <c r="H362" s="1"/>
      <c r="I362" s="1"/>
      <c r="J362" s="1"/>
    </row>
    <row r="363" spans="2:10" ht="13">
      <c r="B363" s="1"/>
      <c r="C363" s="1"/>
      <c r="D363" s="1"/>
      <c r="E363" s="1"/>
      <c r="F363" s="1"/>
      <c r="G363" s="1"/>
      <c r="H363" s="1"/>
      <c r="I363" s="1"/>
      <c r="J363" s="1"/>
    </row>
    <row r="364" spans="2:10" ht="13">
      <c r="B364" s="1"/>
      <c r="C364" s="1"/>
      <c r="D364" s="1"/>
      <c r="E364" s="1"/>
      <c r="F364" s="1"/>
      <c r="G364" s="1"/>
      <c r="H364" s="1"/>
      <c r="I364" s="1"/>
      <c r="J364" s="1"/>
    </row>
    <row r="365" spans="2:10" ht="13">
      <c r="B365" s="1"/>
      <c r="C365" s="1"/>
      <c r="D365" s="1"/>
      <c r="E365" s="1"/>
      <c r="F365" s="1"/>
      <c r="G365" s="1"/>
      <c r="H365" s="1"/>
      <c r="I365" s="1"/>
      <c r="J365" s="1"/>
    </row>
    <row r="366" spans="2:10" ht="13">
      <c r="B366" s="1"/>
      <c r="C366" s="1"/>
      <c r="D366" s="1"/>
      <c r="E366" s="1"/>
      <c r="F366" s="1"/>
      <c r="G366" s="1"/>
      <c r="H366" s="1"/>
      <c r="I366" s="1"/>
      <c r="J366" s="1"/>
    </row>
    <row r="367" spans="2:10" ht="13">
      <c r="B367" s="1"/>
      <c r="C367" s="1"/>
      <c r="D367" s="1"/>
      <c r="E367" s="1"/>
      <c r="F367" s="1"/>
      <c r="G367" s="1"/>
      <c r="H367" s="1"/>
      <c r="I367" s="1"/>
      <c r="J367" s="1"/>
    </row>
    <row r="368" spans="2:10" ht="13">
      <c r="B368" s="1"/>
      <c r="C368" s="1"/>
      <c r="D368" s="1"/>
      <c r="E368" s="1"/>
      <c r="F368" s="1"/>
      <c r="G368" s="1"/>
      <c r="H368" s="1"/>
      <c r="I368" s="1"/>
      <c r="J368" s="1"/>
    </row>
    <row r="369" spans="2:10" ht="13">
      <c r="B369" s="1"/>
      <c r="C369" s="1"/>
      <c r="D369" s="1"/>
      <c r="E369" s="1"/>
      <c r="F369" s="1"/>
      <c r="G369" s="1"/>
      <c r="H369" s="1"/>
      <c r="I369" s="1"/>
      <c r="J369" s="1"/>
    </row>
    <row r="370" spans="2:10" ht="13">
      <c r="B370" s="1"/>
      <c r="C370" s="1"/>
      <c r="D370" s="1"/>
      <c r="E370" s="1"/>
      <c r="F370" s="1"/>
      <c r="G370" s="1"/>
      <c r="H370" s="1"/>
      <c r="I370" s="1"/>
      <c r="J370" s="1"/>
    </row>
    <row r="371" spans="2:10" ht="13">
      <c r="B371" s="1"/>
      <c r="C371" s="1"/>
      <c r="D371" s="1"/>
      <c r="E371" s="1"/>
      <c r="F371" s="1"/>
      <c r="G371" s="1"/>
      <c r="H371" s="1"/>
      <c r="I371" s="1"/>
      <c r="J371" s="1"/>
    </row>
    <row r="372" spans="2:10" ht="13">
      <c r="B372" s="1"/>
      <c r="C372" s="1"/>
      <c r="D372" s="1"/>
      <c r="E372" s="1"/>
      <c r="F372" s="1"/>
      <c r="G372" s="1"/>
      <c r="H372" s="1"/>
      <c r="I372" s="1"/>
      <c r="J372" s="1"/>
    </row>
    <row r="373" spans="2:10" ht="13">
      <c r="B373" s="1"/>
      <c r="C373" s="1"/>
      <c r="D373" s="1"/>
      <c r="E373" s="1"/>
      <c r="F373" s="1"/>
      <c r="G373" s="1"/>
      <c r="H373" s="1"/>
      <c r="I373" s="1"/>
      <c r="J373" s="1"/>
    </row>
    <row r="374" spans="2:10" ht="13">
      <c r="B374" s="1"/>
      <c r="C374" s="1"/>
      <c r="D374" s="1"/>
      <c r="E374" s="1"/>
      <c r="F374" s="1"/>
      <c r="G374" s="1"/>
      <c r="H374" s="1"/>
      <c r="I374" s="1"/>
      <c r="J374" s="1"/>
    </row>
    <row r="375" spans="2:10" ht="13">
      <c r="B375" s="1"/>
      <c r="C375" s="1"/>
      <c r="D375" s="1"/>
      <c r="E375" s="1"/>
      <c r="F375" s="1"/>
      <c r="G375" s="1"/>
      <c r="H375" s="1"/>
      <c r="I375" s="1"/>
      <c r="J375" s="1"/>
    </row>
    <row r="376" spans="2:10" ht="13">
      <c r="B376" s="1"/>
      <c r="C376" s="1"/>
      <c r="D376" s="1"/>
      <c r="E376" s="1"/>
      <c r="F376" s="1"/>
      <c r="G376" s="1"/>
      <c r="H376" s="1"/>
      <c r="I376" s="1"/>
      <c r="J376" s="1"/>
    </row>
    <row r="377" spans="2:10" ht="13">
      <c r="B377" s="1"/>
      <c r="C377" s="1"/>
      <c r="D377" s="1"/>
      <c r="E377" s="1"/>
      <c r="F377" s="1"/>
      <c r="G377" s="1"/>
      <c r="H377" s="1"/>
      <c r="I377" s="1"/>
      <c r="J377" s="1"/>
    </row>
    <row r="378" spans="2:10" ht="13">
      <c r="B378" s="1"/>
      <c r="C378" s="1"/>
      <c r="D378" s="1"/>
      <c r="E378" s="1"/>
      <c r="F378" s="1"/>
      <c r="G378" s="1"/>
      <c r="H378" s="1"/>
      <c r="I378" s="1"/>
      <c r="J378" s="1"/>
    </row>
    <row r="379" spans="2:10" ht="13">
      <c r="B379" s="1"/>
      <c r="C379" s="1"/>
      <c r="D379" s="1"/>
      <c r="E379" s="1"/>
      <c r="F379" s="1"/>
      <c r="G379" s="1"/>
      <c r="H379" s="1"/>
      <c r="I379" s="1"/>
      <c r="J379" s="1"/>
    </row>
    <row r="380" spans="2:10" ht="13">
      <c r="B380" s="1"/>
      <c r="C380" s="1"/>
      <c r="D380" s="1"/>
      <c r="E380" s="1"/>
      <c r="F380" s="1"/>
      <c r="G380" s="1"/>
      <c r="H380" s="1"/>
      <c r="I380" s="1"/>
      <c r="J380" s="1"/>
    </row>
    <row r="381" spans="2:10" ht="13">
      <c r="B381" s="1"/>
      <c r="C381" s="1"/>
      <c r="D381" s="1"/>
      <c r="E381" s="1"/>
      <c r="F381" s="1"/>
      <c r="G381" s="1"/>
      <c r="H381" s="1"/>
      <c r="I381" s="1"/>
      <c r="J381" s="1"/>
    </row>
    <row r="382" spans="2:10" ht="13">
      <c r="B382" s="1"/>
      <c r="C382" s="1"/>
      <c r="D382" s="1"/>
      <c r="E382" s="1"/>
      <c r="F382" s="1"/>
      <c r="G382" s="1"/>
      <c r="H382" s="1"/>
      <c r="I382" s="1"/>
      <c r="J382" s="1"/>
    </row>
    <row r="383" spans="2:10" ht="13">
      <c r="B383" s="1"/>
      <c r="C383" s="1"/>
      <c r="D383" s="1"/>
      <c r="E383" s="1"/>
      <c r="F383" s="1"/>
      <c r="G383" s="1"/>
      <c r="H383" s="1"/>
      <c r="I383" s="1"/>
      <c r="J383" s="1"/>
    </row>
    <row r="384" spans="2:10" ht="13">
      <c r="B384" s="1"/>
      <c r="C384" s="1"/>
      <c r="D384" s="1"/>
      <c r="E384" s="1"/>
      <c r="F384" s="1"/>
      <c r="G384" s="1"/>
      <c r="H384" s="1"/>
      <c r="I384" s="1"/>
      <c r="J384" s="1"/>
    </row>
    <row r="385" spans="2:10" ht="13">
      <c r="B385" s="1"/>
      <c r="C385" s="1"/>
      <c r="D385" s="1"/>
      <c r="E385" s="1"/>
      <c r="F385" s="1"/>
      <c r="G385" s="1"/>
      <c r="H385" s="1"/>
      <c r="I385" s="1"/>
      <c r="J385" s="1"/>
    </row>
    <row r="386" spans="2:10" ht="13">
      <c r="B386" s="1"/>
      <c r="C386" s="1"/>
      <c r="D386" s="1"/>
      <c r="E386" s="1"/>
      <c r="F386" s="1"/>
      <c r="G386" s="1"/>
      <c r="H386" s="1"/>
      <c r="I386" s="1"/>
      <c r="J386" s="1"/>
    </row>
    <row r="387" spans="2:10" ht="13">
      <c r="B387" s="1"/>
      <c r="C387" s="1"/>
      <c r="D387" s="1"/>
      <c r="E387" s="1"/>
      <c r="F387" s="1"/>
      <c r="G387" s="1"/>
      <c r="H387" s="1"/>
      <c r="I387" s="1"/>
      <c r="J387" s="1"/>
    </row>
    <row r="388" spans="2:10" ht="13">
      <c r="B388" s="1"/>
      <c r="C388" s="1"/>
      <c r="D388" s="1"/>
      <c r="E388" s="1"/>
      <c r="F388" s="1"/>
      <c r="G388" s="1"/>
      <c r="H388" s="1"/>
      <c r="I388" s="1"/>
      <c r="J388" s="1"/>
    </row>
    <row r="389" spans="2:10" ht="13">
      <c r="B389" s="1"/>
      <c r="C389" s="1"/>
      <c r="D389" s="1"/>
      <c r="E389" s="1"/>
      <c r="F389" s="1"/>
      <c r="G389" s="1"/>
      <c r="H389" s="1"/>
      <c r="I389" s="1"/>
      <c r="J389" s="1"/>
    </row>
    <row r="390" spans="2:10" ht="13">
      <c r="B390" s="1"/>
      <c r="C390" s="1"/>
      <c r="D390" s="1"/>
      <c r="E390" s="1"/>
      <c r="F390" s="1"/>
      <c r="G390" s="1"/>
      <c r="H390" s="1"/>
      <c r="I390" s="1"/>
      <c r="J390" s="1"/>
    </row>
    <row r="391" spans="2:10" ht="13">
      <c r="B391" s="1"/>
      <c r="C391" s="1"/>
      <c r="D391" s="1"/>
      <c r="E391" s="1"/>
      <c r="F391" s="1"/>
      <c r="G391" s="1"/>
      <c r="H391" s="1"/>
      <c r="I391" s="1"/>
      <c r="J391" s="1"/>
    </row>
    <row r="392" spans="2:10" ht="13">
      <c r="B392" s="1"/>
      <c r="C392" s="1"/>
      <c r="D392" s="1"/>
      <c r="E392" s="1"/>
      <c r="F392" s="1"/>
      <c r="G392" s="1"/>
      <c r="H392" s="1"/>
      <c r="I392" s="1"/>
      <c r="J392" s="1"/>
    </row>
    <row r="393" spans="2:10" ht="13">
      <c r="B393" s="1"/>
      <c r="C393" s="1"/>
      <c r="D393" s="1"/>
      <c r="E393" s="1"/>
      <c r="F393" s="1"/>
      <c r="G393" s="1"/>
      <c r="H393" s="1"/>
      <c r="I393" s="1"/>
      <c r="J393" s="1"/>
    </row>
    <row r="394" spans="2:10" ht="13">
      <c r="B394" s="1"/>
      <c r="C394" s="1"/>
      <c r="D394" s="1"/>
      <c r="E394" s="1"/>
      <c r="F394" s="1"/>
      <c r="G394" s="1"/>
      <c r="H394" s="1"/>
      <c r="I394" s="1"/>
      <c r="J394" s="1"/>
    </row>
    <row r="395" spans="2:10" ht="13">
      <c r="B395" s="1"/>
      <c r="C395" s="1"/>
      <c r="D395" s="1"/>
      <c r="E395" s="1"/>
      <c r="F395" s="1"/>
      <c r="G395" s="1"/>
      <c r="H395" s="1"/>
      <c r="I395" s="1"/>
      <c r="J395" s="1"/>
    </row>
    <row r="396" spans="2:10" ht="13">
      <c r="B396" s="1"/>
      <c r="C396" s="1"/>
      <c r="D396" s="1"/>
      <c r="E396" s="1"/>
      <c r="F396" s="1"/>
      <c r="G396" s="1"/>
      <c r="H396" s="1"/>
      <c r="I396" s="1"/>
      <c r="J396" s="1"/>
    </row>
    <row r="397" spans="2:10" ht="13">
      <c r="B397" s="1"/>
      <c r="C397" s="1"/>
      <c r="D397" s="1"/>
      <c r="E397" s="1"/>
      <c r="F397" s="1"/>
      <c r="G397" s="1"/>
      <c r="H397" s="1"/>
      <c r="I397" s="1"/>
      <c r="J397" s="1"/>
    </row>
    <row r="398" spans="2:10" ht="13">
      <c r="B398" s="1"/>
      <c r="C398" s="1"/>
      <c r="D398" s="1"/>
      <c r="E398" s="1"/>
      <c r="F398" s="1"/>
      <c r="G398" s="1"/>
      <c r="H398" s="1"/>
      <c r="I398" s="1"/>
      <c r="J398" s="1"/>
    </row>
    <row r="399" spans="2:10" ht="13">
      <c r="B399" s="1"/>
      <c r="C399" s="1"/>
      <c r="D399" s="1"/>
      <c r="E399" s="1"/>
      <c r="F399" s="1"/>
      <c r="G399" s="1"/>
      <c r="H399" s="1"/>
      <c r="I399" s="1"/>
      <c r="J399" s="1"/>
    </row>
    <row r="400" spans="2:10" ht="13">
      <c r="B400" s="1"/>
      <c r="C400" s="1"/>
      <c r="D400" s="1"/>
      <c r="E400" s="1"/>
      <c r="F400" s="1"/>
      <c r="G400" s="1"/>
      <c r="H400" s="1"/>
      <c r="I400" s="1"/>
      <c r="J400" s="1"/>
    </row>
    <row r="401" spans="2:10" ht="13">
      <c r="B401" s="1"/>
      <c r="C401" s="1"/>
      <c r="D401" s="1"/>
      <c r="E401" s="1"/>
      <c r="F401" s="1"/>
      <c r="G401" s="1"/>
      <c r="H401" s="1"/>
      <c r="I401" s="1"/>
      <c r="J401" s="1"/>
    </row>
    <row r="402" spans="2:10" ht="13">
      <c r="B402" s="1"/>
      <c r="C402" s="1"/>
      <c r="D402" s="1"/>
      <c r="E402" s="1"/>
      <c r="F402" s="1"/>
      <c r="G402" s="1"/>
      <c r="H402" s="1"/>
      <c r="I402" s="1"/>
      <c r="J402" s="1"/>
    </row>
    <row r="403" spans="2:10" ht="13">
      <c r="B403" s="1"/>
      <c r="C403" s="1"/>
      <c r="D403" s="1"/>
      <c r="E403" s="1"/>
      <c r="F403" s="1"/>
      <c r="G403" s="1"/>
      <c r="H403" s="1"/>
      <c r="I403" s="1"/>
      <c r="J403" s="1"/>
    </row>
    <row r="404" spans="2:10" ht="13">
      <c r="B404" s="1"/>
      <c r="C404" s="1"/>
      <c r="D404" s="1"/>
      <c r="E404" s="1"/>
      <c r="F404" s="1"/>
      <c r="G404" s="1"/>
      <c r="H404" s="1"/>
      <c r="I404" s="1"/>
      <c r="J404" s="1"/>
    </row>
    <row r="405" spans="2:10" ht="13">
      <c r="B405" s="1"/>
      <c r="C405" s="1"/>
      <c r="D405" s="1"/>
      <c r="E405" s="1"/>
      <c r="F405" s="1"/>
      <c r="G405" s="1"/>
      <c r="H405" s="1"/>
      <c r="I405" s="1"/>
      <c r="J405" s="1"/>
    </row>
    <row r="406" spans="2:10" ht="13">
      <c r="B406" s="1"/>
      <c r="C406" s="1"/>
      <c r="D406" s="1"/>
      <c r="E406" s="1"/>
      <c r="F406" s="1"/>
      <c r="G406" s="1"/>
      <c r="H406" s="1"/>
      <c r="I406" s="1"/>
      <c r="J406" s="1"/>
    </row>
    <row r="407" spans="2:10" ht="13">
      <c r="B407" s="1"/>
      <c r="C407" s="1"/>
      <c r="D407" s="1"/>
      <c r="E407" s="1"/>
      <c r="F407" s="1"/>
      <c r="G407" s="1"/>
      <c r="H407" s="1"/>
      <c r="I407" s="1"/>
      <c r="J407" s="1"/>
    </row>
    <row r="408" spans="2:10" ht="13">
      <c r="B408" s="1"/>
      <c r="C408" s="1"/>
      <c r="D408" s="1"/>
      <c r="E408" s="1"/>
      <c r="F408" s="1"/>
      <c r="G408" s="1"/>
      <c r="H408" s="1"/>
      <c r="I408" s="1"/>
      <c r="J408" s="1"/>
    </row>
    <row r="409" spans="2:10" ht="13">
      <c r="B409" s="1"/>
      <c r="C409" s="1"/>
      <c r="D409" s="1"/>
      <c r="E409" s="1"/>
      <c r="F409" s="1"/>
      <c r="G409" s="1"/>
      <c r="H409" s="1"/>
      <c r="I409" s="1"/>
      <c r="J409" s="1"/>
    </row>
    <row r="410" spans="2:10" ht="13">
      <c r="B410" s="1"/>
      <c r="C410" s="1"/>
      <c r="D410" s="1"/>
      <c r="E410" s="1"/>
      <c r="F410" s="1"/>
      <c r="G410" s="1"/>
      <c r="H410" s="1"/>
      <c r="I410" s="1"/>
      <c r="J410" s="1"/>
    </row>
    <row r="411" spans="2:10" ht="13">
      <c r="B411" s="1"/>
      <c r="C411" s="1"/>
      <c r="D411" s="1"/>
      <c r="E411" s="1"/>
      <c r="F411" s="1"/>
      <c r="G411" s="1"/>
      <c r="H411" s="1"/>
      <c r="I411" s="1"/>
      <c r="J411" s="1"/>
    </row>
    <row r="412" spans="2:10" ht="13">
      <c r="B412" s="1"/>
      <c r="C412" s="1"/>
      <c r="D412" s="1"/>
      <c r="E412" s="1"/>
      <c r="F412" s="1"/>
      <c r="G412" s="1"/>
      <c r="H412" s="1"/>
      <c r="I412" s="1"/>
      <c r="J412" s="1"/>
    </row>
    <row r="413" spans="2:10" ht="13">
      <c r="B413" s="1"/>
      <c r="C413" s="1"/>
      <c r="D413" s="1"/>
      <c r="E413" s="1"/>
      <c r="F413" s="1"/>
      <c r="G413" s="1"/>
      <c r="H413" s="1"/>
      <c r="I413" s="1"/>
      <c r="J413" s="1"/>
    </row>
    <row r="414" spans="2:10" ht="13">
      <c r="B414" s="1"/>
      <c r="C414" s="1"/>
      <c r="D414" s="1"/>
      <c r="E414" s="1"/>
      <c r="F414" s="1"/>
      <c r="G414" s="1"/>
      <c r="H414" s="1"/>
      <c r="I414" s="1"/>
      <c r="J414" s="1"/>
    </row>
    <row r="415" spans="2:10" ht="13">
      <c r="B415" s="1"/>
      <c r="C415" s="1"/>
      <c r="D415" s="1"/>
      <c r="E415" s="1"/>
      <c r="F415" s="1"/>
      <c r="G415" s="1"/>
      <c r="H415" s="1"/>
      <c r="I415" s="1"/>
      <c r="J415" s="1"/>
    </row>
    <row r="416" spans="2:10" ht="13">
      <c r="B416" s="1"/>
      <c r="C416" s="1"/>
      <c r="D416" s="1"/>
      <c r="E416" s="1"/>
      <c r="F416" s="1"/>
      <c r="G416" s="1"/>
      <c r="H416" s="1"/>
      <c r="I416" s="1"/>
      <c r="J416" s="1"/>
    </row>
    <row r="417" spans="2:10" ht="13">
      <c r="B417" s="1"/>
      <c r="C417" s="1"/>
      <c r="D417" s="1"/>
      <c r="E417" s="1"/>
      <c r="F417" s="1"/>
      <c r="G417" s="1"/>
      <c r="H417" s="1"/>
      <c r="I417" s="1"/>
      <c r="J417" s="1"/>
    </row>
    <row r="418" spans="2:10" ht="13">
      <c r="B418" s="1"/>
      <c r="C418" s="1"/>
      <c r="D418" s="1"/>
      <c r="E418" s="1"/>
      <c r="F418" s="1"/>
      <c r="G418" s="1"/>
      <c r="H418" s="1"/>
      <c r="I418" s="1"/>
      <c r="J418" s="1"/>
    </row>
    <row r="419" spans="2:10" ht="13">
      <c r="B419" s="1"/>
      <c r="C419" s="1"/>
      <c r="D419" s="1"/>
      <c r="E419" s="1"/>
      <c r="F419" s="1"/>
      <c r="G419" s="1"/>
      <c r="H419" s="1"/>
      <c r="I419" s="1"/>
      <c r="J419" s="1"/>
    </row>
    <row r="420" spans="2:10" ht="13">
      <c r="B420" s="1"/>
      <c r="C420" s="1"/>
      <c r="D420" s="1"/>
      <c r="E420" s="1"/>
      <c r="F420" s="1"/>
      <c r="G420" s="1"/>
      <c r="H420" s="1"/>
      <c r="I420" s="1"/>
      <c r="J420" s="1"/>
    </row>
    <row r="421" spans="2:10" ht="13">
      <c r="B421" s="1"/>
      <c r="C421" s="1"/>
      <c r="D421" s="1"/>
      <c r="E421" s="1"/>
      <c r="F421" s="1"/>
      <c r="G421" s="1"/>
      <c r="H421" s="1"/>
      <c r="I421" s="1"/>
      <c r="J421" s="1"/>
    </row>
    <row r="422" spans="2:10" ht="13">
      <c r="B422" s="1"/>
      <c r="C422" s="1"/>
      <c r="D422" s="1"/>
      <c r="E422" s="1"/>
      <c r="F422" s="1"/>
      <c r="G422" s="1"/>
      <c r="H422" s="1"/>
      <c r="I422" s="1"/>
      <c r="J422" s="1"/>
    </row>
    <row r="423" spans="2:10" ht="13">
      <c r="B423" s="1"/>
      <c r="C423" s="1"/>
      <c r="D423" s="1"/>
      <c r="E423" s="1"/>
      <c r="F423" s="1"/>
      <c r="G423" s="1"/>
      <c r="H423" s="1"/>
      <c r="I423" s="1"/>
      <c r="J423" s="1"/>
    </row>
    <row r="424" spans="2:10" ht="13">
      <c r="B424" s="1"/>
      <c r="C424" s="1"/>
      <c r="D424" s="1"/>
      <c r="E424" s="1"/>
      <c r="F424" s="1"/>
      <c r="G424" s="1"/>
      <c r="H424" s="1"/>
      <c r="I424" s="1"/>
      <c r="J424" s="1"/>
    </row>
    <row r="425" spans="2:10" ht="13">
      <c r="B425" s="1"/>
      <c r="C425" s="1"/>
      <c r="D425" s="1"/>
      <c r="E425" s="1"/>
      <c r="F425" s="1"/>
      <c r="G425" s="1"/>
      <c r="H425" s="1"/>
      <c r="I425" s="1"/>
      <c r="J425" s="1"/>
    </row>
    <row r="426" spans="2:10" ht="13">
      <c r="B426" s="1"/>
      <c r="C426" s="1"/>
      <c r="D426" s="1"/>
      <c r="E426" s="1"/>
      <c r="F426" s="1"/>
      <c r="G426" s="1"/>
      <c r="H426" s="1"/>
      <c r="I426" s="1"/>
      <c r="J426" s="1"/>
    </row>
    <row r="427" spans="2:10" ht="13">
      <c r="B427" s="1"/>
      <c r="C427" s="1"/>
      <c r="D427" s="1"/>
      <c r="E427" s="1"/>
      <c r="F427" s="1"/>
      <c r="G427" s="1"/>
      <c r="H427" s="1"/>
      <c r="I427" s="1"/>
      <c r="J427" s="1"/>
    </row>
    <row r="428" spans="2:10" ht="13">
      <c r="B428" s="1"/>
      <c r="C428" s="1"/>
      <c r="D428" s="1"/>
      <c r="E428" s="1"/>
      <c r="F428" s="1"/>
      <c r="G428" s="1"/>
      <c r="H428" s="1"/>
      <c r="I428" s="1"/>
      <c r="J428" s="1"/>
    </row>
    <row r="429" spans="2:10" ht="13">
      <c r="B429" s="1"/>
      <c r="C429" s="1"/>
      <c r="D429" s="1"/>
      <c r="E429" s="1"/>
      <c r="F429" s="1"/>
      <c r="G429" s="1"/>
      <c r="H429" s="1"/>
      <c r="I429" s="1"/>
      <c r="J429" s="1"/>
    </row>
    <row r="430" spans="2:10" ht="13">
      <c r="B430" s="1"/>
      <c r="C430" s="1"/>
      <c r="D430" s="1"/>
      <c r="E430" s="1"/>
      <c r="F430" s="1"/>
      <c r="G430" s="1"/>
      <c r="H430" s="1"/>
      <c r="I430" s="1"/>
      <c r="J430" s="1"/>
    </row>
    <row r="431" spans="2:10" ht="13">
      <c r="B431" s="1"/>
      <c r="C431" s="1"/>
      <c r="D431" s="1"/>
      <c r="E431" s="1"/>
      <c r="F431" s="1"/>
      <c r="G431" s="1"/>
      <c r="H431" s="1"/>
      <c r="I431" s="1"/>
      <c r="J431" s="1"/>
    </row>
    <row r="432" spans="2:10" ht="13">
      <c r="B432" s="1"/>
      <c r="C432" s="1"/>
      <c r="D432" s="1"/>
      <c r="E432" s="1"/>
      <c r="F432" s="1"/>
      <c r="G432" s="1"/>
      <c r="H432" s="1"/>
      <c r="I432" s="1"/>
      <c r="J432" s="1"/>
    </row>
    <row r="433" spans="2:10" ht="13">
      <c r="B433" s="1"/>
      <c r="C433" s="1"/>
      <c r="D433" s="1"/>
      <c r="E433" s="1"/>
      <c r="F433" s="1"/>
      <c r="G433" s="1"/>
      <c r="H433" s="1"/>
      <c r="I433" s="1"/>
      <c r="J433" s="1"/>
    </row>
    <row r="434" spans="2:10" ht="13">
      <c r="B434" s="1"/>
      <c r="C434" s="1"/>
      <c r="D434" s="1"/>
      <c r="E434" s="1"/>
      <c r="F434" s="1"/>
      <c r="G434" s="1"/>
      <c r="H434" s="1"/>
      <c r="I434" s="1"/>
      <c r="J434" s="1"/>
    </row>
    <row r="435" spans="2:10" ht="13">
      <c r="B435" s="1"/>
      <c r="C435" s="1"/>
      <c r="D435" s="1"/>
      <c r="E435" s="1"/>
      <c r="F435" s="1"/>
      <c r="G435" s="1"/>
      <c r="H435" s="1"/>
      <c r="I435" s="1"/>
      <c r="J435" s="1"/>
    </row>
    <row r="436" spans="2:10" ht="13">
      <c r="B436" s="1"/>
      <c r="C436" s="1"/>
      <c r="D436" s="1"/>
      <c r="E436" s="1"/>
      <c r="F436" s="1"/>
      <c r="G436" s="1"/>
      <c r="H436" s="1"/>
      <c r="I436" s="1"/>
      <c r="J436" s="1"/>
    </row>
    <row r="437" spans="2:10" ht="13">
      <c r="B437" s="1"/>
      <c r="C437" s="1"/>
      <c r="D437" s="1"/>
      <c r="E437" s="1"/>
      <c r="F437" s="1"/>
      <c r="G437" s="1"/>
      <c r="H437" s="1"/>
      <c r="I437" s="1"/>
      <c r="J437" s="1"/>
    </row>
    <row r="438" spans="2:10" ht="13">
      <c r="B438" s="1"/>
      <c r="C438" s="1"/>
      <c r="D438" s="1"/>
      <c r="E438" s="1"/>
      <c r="F438" s="1"/>
      <c r="G438" s="1"/>
      <c r="H438" s="1"/>
      <c r="I438" s="1"/>
      <c r="J438" s="1"/>
    </row>
    <row r="439" spans="2:10" ht="13">
      <c r="B439" s="1"/>
      <c r="C439" s="1"/>
      <c r="D439" s="1"/>
      <c r="E439" s="1"/>
      <c r="F439" s="1"/>
      <c r="G439" s="1"/>
      <c r="H439" s="1"/>
      <c r="I439" s="1"/>
      <c r="J439" s="1"/>
    </row>
    <row r="440" spans="2:10" ht="13">
      <c r="B440" s="1"/>
      <c r="C440" s="1"/>
      <c r="D440" s="1"/>
      <c r="E440" s="1"/>
      <c r="F440" s="1"/>
      <c r="G440" s="1"/>
      <c r="H440" s="1"/>
      <c r="I440" s="1"/>
      <c r="J440" s="1"/>
    </row>
    <row r="441" spans="2:10" ht="13">
      <c r="B441" s="1"/>
      <c r="C441" s="1"/>
      <c r="D441" s="1"/>
      <c r="E441" s="1"/>
      <c r="F441" s="1"/>
      <c r="G441" s="1"/>
      <c r="H441" s="1"/>
      <c r="I441" s="1"/>
      <c r="J441" s="1"/>
    </row>
    <row r="442" spans="2:10" ht="13">
      <c r="B442" s="1"/>
      <c r="C442" s="1"/>
      <c r="D442" s="1"/>
      <c r="E442" s="1"/>
      <c r="F442" s="1"/>
      <c r="G442" s="1"/>
      <c r="H442" s="1"/>
      <c r="I442" s="1"/>
      <c r="J442" s="1"/>
    </row>
    <row r="443" spans="2:10" ht="13">
      <c r="B443" s="1"/>
      <c r="C443" s="1"/>
      <c r="D443" s="1"/>
      <c r="E443" s="1"/>
      <c r="F443" s="1"/>
      <c r="G443" s="1"/>
      <c r="H443" s="1"/>
      <c r="I443" s="1"/>
      <c r="J443" s="1"/>
    </row>
    <row r="444" spans="2:10" ht="13">
      <c r="B444" s="1"/>
      <c r="C444" s="1"/>
      <c r="D444" s="1"/>
      <c r="E444" s="1"/>
      <c r="F444" s="1"/>
      <c r="G444" s="1"/>
      <c r="H444" s="1"/>
      <c r="I444" s="1"/>
      <c r="J444" s="1"/>
    </row>
    <row r="445" spans="2:10" ht="13">
      <c r="B445" s="1"/>
      <c r="C445" s="1"/>
      <c r="D445" s="1"/>
      <c r="E445" s="1"/>
      <c r="F445" s="1"/>
      <c r="G445" s="1"/>
      <c r="H445" s="1"/>
      <c r="I445" s="1"/>
      <c r="J445" s="1"/>
    </row>
    <row r="446" spans="2:10" ht="13">
      <c r="B446" s="1"/>
      <c r="C446" s="1"/>
      <c r="D446" s="1"/>
      <c r="E446" s="1"/>
      <c r="F446" s="1"/>
      <c r="G446" s="1"/>
      <c r="H446" s="1"/>
      <c r="I446" s="1"/>
      <c r="J446" s="1"/>
    </row>
    <row r="447" spans="2:10" ht="13">
      <c r="B447" s="1"/>
      <c r="C447" s="1"/>
      <c r="D447" s="1"/>
      <c r="E447" s="1"/>
      <c r="F447" s="1"/>
      <c r="G447" s="1"/>
      <c r="H447" s="1"/>
      <c r="I447" s="1"/>
      <c r="J447" s="1"/>
    </row>
    <row r="448" spans="2:10" ht="13">
      <c r="B448" s="1"/>
      <c r="C448" s="1"/>
      <c r="D448" s="1"/>
      <c r="E448" s="1"/>
      <c r="F448" s="1"/>
      <c r="G448" s="1"/>
      <c r="H448" s="1"/>
      <c r="I448" s="1"/>
      <c r="J448" s="1"/>
    </row>
    <row r="449" spans="2:10" ht="13">
      <c r="B449" s="1"/>
      <c r="C449" s="1"/>
      <c r="D449" s="1"/>
      <c r="E449" s="1"/>
      <c r="F449" s="1"/>
      <c r="G449" s="1"/>
      <c r="H449" s="1"/>
      <c r="I449" s="1"/>
      <c r="J449" s="1"/>
    </row>
    <row r="450" spans="2:10" ht="13">
      <c r="B450" s="1"/>
      <c r="C450" s="1"/>
      <c r="D450" s="1"/>
      <c r="E450" s="1"/>
      <c r="F450" s="1"/>
      <c r="G450" s="1"/>
      <c r="H450" s="1"/>
      <c r="I450" s="1"/>
      <c r="J450" s="1"/>
    </row>
    <row r="451" spans="2:10" ht="13">
      <c r="B451" s="1"/>
      <c r="C451" s="1"/>
      <c r="D451" s="1"/>
      <c r="E451" s="1"/>
      <c r="F451" s="1"/>
      <c r="G451" s="1"/>
      <c r="H451" s="1"/>
      <c r="I451" s="1"/>
      <c r="J451" s="1"/>
    </row>
    <row r="452" spans="2:10" ht="13">
      <c r="B452" s="1"/>
      <c r="C452" s="1"/>
      <c r="D452" s="1"/>
      <c r="E452" s="1"/>
      <c r="F452" s="1"/>
      <c r="G452" s="1"/>
      <c r="H452" s="1"/>
      <c r="I452" s="1"/>
      <c r="J452" s="1"/>
    </row>
    <row r="453" spans="2:10" ht="13">
      <c r="B453" s="1"/>
      <c r="C453" s="1"/>
      <c r="D453" s="1"/>
      <c r="E453" s="1"/>
      <c r="F453" s="1"/>
      <c r="G453" s="1"/>
      <c r="H453" s="1"/>
      <c r="I453" s="1"/>
      <c r="J453" s="1"/>
    </row>
    <row r="454" spans="2:10" ht="13">
      <c r="B454" s="1"/>
      <c r="C454" s="1"/>
      <c r="D454" s="1"/>
      <c r="E454" s="1"/>
      <c r="F454" s="1"/>
      <c r="G454" s="1"/>
      <c r="H454" s="1"/>
      <c r="I454" s="1"/>
      <c r="J454" s="1"/>
    </row>
    <row r="455" spans="2:10" ht="13">
      <c r="B455" s="1"/>
      <c r="C455" s="1"/>
      <c r="D455" s="1"/>
      <c r="E455" s="1"/>
      <c r="F455" s="1"/>
      <c r="G455" s="1"/>
      <c r="H455" s="1"/>
      <c r="I455" s="1"/>
      <c r="J455" s="1"/>
    </row>
    <row r="456" spans="2:10" ht="13">
      <c r="B456" s="1"/>
      <c r="C456" s="1"/>
      <c r="D456" s="1"/>
      <c r="E456" s="1"/>
      <c r="F456" s="1"/>
      <c r="G456" s="1"/>
      <c r="H456" s="1"/>
      <c r="I456" s="1"/>
      <c r="J456" s="1"/>
    </row>
    <row r="457" spans="2:10" ht="13">
      <c r="B457" s="1"/>
      <c r="C457" s="1"/>
      <c r="D457" s="1"/>
      <c r="E457" s="1"/>
      <c r="F457" s="1"/>
      <c r="G457" s="1"/>
      <c r="H457" s="1"/>
      <c r="I457" s="1"/>
      <c r="J457" s="1"/>
    </row>
    <row r="458" spans="2:10" ht="13">
      <c r="B458" s="1"/>
      <c r="C458" s="1"/>
      <c r="D458" s="1"/>
      <c r="E458" s="1"/>
      <c r="F458" s="1"/>
      <c r="G458" s="1"/>
      <c r="H458" s="1"/>
      <c r="I458" s="1"/>
      <c r="J458" s="1"/>
    </row>
    <row r="459" spans="2:10" ht="13">
      <c r="B459" s="1"/>
      <c r="C459" s="1"/>
      <c r="D459" s="1"/>
      <c r="E459" s="1"/>
      <c r="F459" s="1"/>
      <c r="G459" s="1"/>
      <c r="H459" s="1"/>
      <c r="I459" s="1"/>
      <c r="J459" s="1"/>
    </row>
    <row r="460" spans="2:10" ht="13">
      <c r="B460" s="1"/>
      <c r="C460" s="1"/>
      <c r="D460" s="1"/>
      <c r="E460" s="1"/>
      <c r="F460" s="1"/>
      <c r="G460" s="1"/>
      <c r="H460" s="1"/>
      <c r="I460" s="1"/>
      <c r="J460" s="1"/>
    </row>
    <row r="461" spans="2:10" ht="13">
      <c r="B461" s="1"/>
      <c r="C461" s="1"/>
      <c r="D461" s="1"/>
      <c r="E461" s="1"/>
      <c r="F461" s="1"/>
      <c r="G461" s="1"/>
      <c r="H461" s="1"/>
      <c r="I461" s="1"/>
      <c r="J461" s="1"/>
    </row>
    <row r="462" spans="2:10" ht="13">
      <c r="B462" s="1"/>
      <c r="C462" s="1"/>
      <c r="D462" s="1"/>
      <c r="E462" s="1"/>
      <c r="F462" s="1"/>
      <c r="G462" s="1"/>
      <c r="H462" s="1"/>
      <c r="I462" s="1"/>
      <c r="J462" s="1"/>
    </row>
    <row r="463" spans="2:10" ht="13">
      <c r="B463" s="1"/>
      <c r="C463" s="1"/>
      <c r="D463" s="1"/>
      <c r="E463" s="1"/>
      <c r="F463" s="1"/>
      <c r="G463" s="1"/>
      <c r="H463" s="1"/>
      <c r="I463" s="1"/>
      <c r="J463" s="1"/>
    </row>
    <row r="464" spans="2:10" ht="13">
      <c r="B464" s="1"/>
      <c r="C464" s="1"/>
      <c r="D464" s="1"/>
      <c r="E464" s="1"/>
      <c r="F464" s="1"/>
      <c r="G464" s="1"/>
      <c r="H464" s="1"/>
      <c r="I464" s="1"/>
      <c r="J464" s="1"/>
    </row>
    <row r="465" spans="2:10" ht="13">
      <c r="B465" s="1"/>
      <c r="C465" s="1"/>
      <c r="D465" s="1"/>
      <c r="E465" s="1"/>
      <c r="F465" s="1"/>
      <c r="G465" s="1"/>
      <c r="H465" s="1"/>
      <c r="I465" s="1"/>
      <c r="J465" s="1"/>
    </row>
    <row r="466" spans="2:10" ht="13">
      <c r="B466" s="1"/>
      <c r="C466" s="1"/>
      <c r="D466" s="1"/>
      <c r="E466" s="1"/>
      <c r="F466" s="1"/>
      <c r="G466" s="1"/>
      <c r="H466" s="1"/>
      <c r="I466" s="1"/>
      <c r="J466" s="1"/>
    </row>
    <row r="467" spans="2:10" ht="13">
      <c r="B467" s="1"/>
      <c r="C467" s="1"/>
      <c r="D467" s="1"/>
      <c r="E467" s="1"/>
      <c r="F467" s="1"/>
      <c r="G467" s="1"/>
      <c r="H467" s="1"/>
      <c r="I467" s="1"/>
      <c r="J467" s="1"/>
    </row>
    <row r="468" spans="2:10" ht="13">
      <c r="B468" s="1"/>
      <c r="C468" s="1"/>
      <c r="D468" s="1"/>
      <c r="E468" s="1"/>
      <c r="F468" s="1"/>
      <c r="G468" s="1"/>
      <c r="H468" s="1"/>
      <c r="I468" s="1"/>
      <c r="J468" s="1"/>
    </row>
    <row r="469" spans="2:10" ht="13">
      <c r="B469" s="1"/>
      <c r="C469" s="1"/>
      <c r="D469" s="1"/>
      <c r="E469" s="1"/>
      <c r="F469" s="1"/>
      <c r="G469" s="1"/>
      <c r="H469" s="1"/>
      <c r="I469" s="1"/>
      <c r="J469" s="1"/>
    </row>
    <row r="470" spans="2:10" ht="13">
      <c r="B470" s="1"/>
      <c r="C470" s="1"/>
      <c r="D470" s="1"/>
      <c r="E470" s="1"/>
      <c r="F470" s="1"/>
      <c r="G470" s="1"/>
      <c r="H470" s="1"/>
      <c r="I470" s="1"/>
      <c r="J470" s="1"/>
    </row>
    <row r="471" spans="2:10" ht="13">
      <c r="B471" s="1"/>
      <c r="C471" s="1"/>
      <c r="D471" s="1"/>
      <c r="E471" s="1"/>
      <c r="F471" s="1"/>
      <c r="G471" s="1"/>
      <c r="H471" s="1"/>
      <c r="I471" s="1"/>
      <c r="J471" s="1"/>
    </row>
    <row r="472" spans="2:10" ht="13">
      <c r="B472" s="1"/>
      <c r="C472" s="1"/>
      <c r="D472" s="1"/>
      <c r="E472" s="1"/>
      <c r="F472" s="1"/>
      <c r="G472" s="1"/>
      <c r="H472" s="1"/>
      <c r="I472" s="1"/>
      <c r="J472" s="1"/>
    </row>
    <row r="473" spans="2:10" ht="13">
      <c r="B473" s="1"/>
      <c r="C473" s="1"/>
      <c r="D473" s="1"/>
      <c r="E473" s="1"/>
      <c r="F473" s="1"/>
      <c r="G473" s="1"/>
      <c r="H473" s="1"/>
      <c r="I473" s="1"/>
      <c r="J473" s="1"/>
    </row>
    <row r="474" spans="2:10" ht="13">
      <c r="B474" s="1"/>
      <c r="C474" s="1"/>
      <c r="D474" s="1"/>
      <c r="E474" s="1"/>
      <c r="F474" s="1"/>
      <c r="G474" s="1"/>
      <c r="H474" s="1"/>
      <c r="I474" s="1"/>
      <c r="J474" s="1"/>
    </row>
    <row r="475" spans="2:10" ht="13">
      <c r="B475" s="1"/>
      <c r="C475" s="1"/>
      <c r="D475" s="1"/>
      <c r="E475" s="1"/>
      <c r="F475" s="1"/>
      <c r="G475" s="1"/>
      <c r="H475" s="1"/>
      <c r="I475" s="1"/>
      <c r="J475" s="1"/>
    </row>
    <row r="476" spans="2:10" ht="13">
      <c r="B476" s="1"/>
      <c r="C476" s="1"/>
      <c r="D476" s="1"/>
      <c r="E476" s="1"/>
      <c r="F476" s="1"/>
      <c r="G476" s="1"/>
      <c r="H476" s="1"/>
      <c r="I476" s="1"/>
      <c r="J476" s="1"/>
    </row>
    <row r="477" spans="2:10" ht="13">
      <c r="B477" s="1"/>
      <c r="C477" s="1"/>
      <c r="D477" s="1"/>
      <c r="E477" s="1"/>
      <c r="F477" s="1"/>
      <c r="G477" s="1"/>
      <c r="H477" s="1"/>
      <c r="I477" s="1"/>
      <c r="J477" s="1"/>
    </row>
    <row r="478" spans="2:10" ht="13">
      <c r="B478" s="1"/>
      <c r="C478" s="1"/>
      <c r="D478" s="1"/>
      <c r="E478" s="1"/>
      <c r="F478" s="1"/>
      <c r="G478" s="1"/>
      <c r="H478" s="1"/>
      <c r="I478" s="1"/>
      <c r="J478" s="1"/>
    </row>
    <row r="479" spans="2:10" ht="13">
      <c r="B479" s="1"/>
      <c r="C479" s="1"/>
      <c r="D479" s="1"/>
      <c r="E479" s="1"/>
      <c r="F479" s="1"/>
      <c r="G479" s="1"/>
      <c r="H479" s="1"/>
      <c r="I479" s="1"/>
      <c r="J479" s="1"/>
    </row>
    <row r="480" spans="2:10" ht="13">
      <c r="B480" s="1"/>
      <c r="C480" s="1"/>
      <c r="D480" s="1"/>
      <c r="E480" s="1"/>
      <c r="F480" s="1"/>
      <c r="G480" s="1"/>
      <c r="H480" s="1"/>
      <c r="I480" s="1"/>
      <c r="J480" s="1"/>
    </row>
    <row r="481" spans="2:10" ht="13">
      <c r="B481" s="1"/>
      <c r="C481" s="1"/>
      <c r="D481" s="1"/>
      <c r="E481" s="1"/>
      <c r="F481" s="1"/>
      <c r="G481" s="1"/>
      <c r="H481" s="1"/>
      <c r="I481" s="1"/>
      <c r="J481" s="1"/>
    </row>
    <row r="482" spans="2:10" ht="13">
      <c r="B482" s="1"/>
      <c r="C482" s="1"/>
      <c r="D482" s="1"/>
      <c r="E482" s="1"/>
      <c r="F482" s="1"/>
      <c r="G482" s="1"/>
      <c r="H482" s="1"/>
      <c r="I482" s="1"/>
      <c r="J482" s="1"/>
    </row>
    <row r="483" spans="2:10" ht="13">
      <c r="B483" s="1"/>
      <c r="C483" s="1"/>
      <c r="D483" s="1"/>
      <c r="E483" s="1"/>
      <c r="F483" s="1"/>
      <c r="G483" s="1"/>
      <c r="H483" s="1"/>
      <c r="I483" s="1"/>
      <c r="J483" s="1"/>
    </row>
    <row r="484" spans="2:10" ht="13">
      <c r="B484" s="1"/>
      <c r="C484" s="1"/>
      <c r="D484" s="1"/>
      <c r="E484" s="1"/>
      <c r="F484" s="1"/>
      <c r="G484" s="1"/>
      <c r="H484" s="1"/>
      <c r="I484" s="1"/>
      <c r="J484" s="1"/>
    </row>
    <row r="485" spans="2:10" ht="13">
      <c r="B485" s="1"/>
      <c r="C485" s="1"/>
      <c r="D485" s="1"/>
      <c r="E485" s="1"/>
      <c r="F485" s="1"/>
      <c r="G485" s="1"/>
      <c r="H485" s="1"/>
      <c r="I485" s="1"/>
      <c r="J485" s="1"/>
    </row>
    <row r="486" spans="2:10" ht="13">
      <c r="B486" s="1"/>
      <c r="C486" s="1"/>
      <c r="D486" s="1"/>
      <c r="E486" s="1"/>
      <c r="F486" s="1"/>
      <c r="G486" s="1"/>
      <c r="H486" s="1"/>
      <c r="I486" s="1"/>
      <c r="J486" s="1"/>
    </row>
    <row r="487" spans="2:10" ht="13">
      <c r="B487" s="1"/>
      <c r="C487" s="1"/>
      <c r="D487" s="1"/>
      <c r="E487" s="1"/>
      <c r="F487" s="1"/>
      <c r="G487" s="1"/>
      <c r="H487" s="1"/>
      <c r="I487" s="1"/>
      <c r="J487" s="1"/>
    </row>
    <row r="488" spans="2:10" ht="13">
      <c r="B488" s="1"/>
      <c r="C488" s="1"/>
      <c r="D488" s="1"/>
      <c r="E488" s="1"/>
      <c r="F488" s="1"/>
      <c r="G488" s="1"/>
      <c r="H488" s="1"/>
      <c r="I488" s="1"/>
      <c r="J488" s="1"/>
    </row>
    <row r="489" spans="2:10" ht="13">
      <c r="B489" s="1"/>
      <c r="C489" s="1"/>
      <c r="D489" s="1"/>
      <c r="E489" s="1"/>
      <c r="F489" s="1"/>
      <c r="G489" s="1"/>
      <c r="H489" s="1"/>
      <c r="I489" s="1"/>
      <c r="J489" s="1"/>
    </row>
    <row r="490" spans="2:10" ht="13">
      <c r="B490" s="1"/>
      <c r="C490" s="1"/>
      <c r="D490" s="1"/>
      <c r="E490" s="1"/>
      <c r="F490" s="1"/>
      <c r="G490" s="1"/>
      <c r="H490" s="1"/>
      <c r="I490" s="1"/>
      <c r="J490" s="1"/>
    </row>
    <row r="491" spans="2:10" ht="13">
      <c r="B491" s="1"/>
      <c r="C491" s="1"/>
      <c r="D491" s="1"/>
      <c r="E491" s="1"/>
      <c r="F491" s="1"/>
      <c r="G491" s="1"/>
      <c r="H491" s="1"/>
      <c r="I491" s="1"/>
      <c r="J491" s="1"/>
    </row>
    <row r="492" spans="2:10" ht="13">
      <c r="B492" s="1"/>
      <c r="C492" s="1"/>
      <c r="D492" s="1"/>
      <c r="E492" s="1"/>
      <c r="F492" s="1"/>
      <c r="G492" s="1"/>
      <c r="H492" s="1"/>
      <c r="I492" s="1"/>
      <c r="J492" s="1"/>
    </row>
    <row r="493" spans="2:10" ht="13">
      <c r="B493" s="1"/>
      <c r="C493" s="1"/>
      <c r="D493" s="1"/>
      <c r="E493" s="1"/>
      <c r="F493" s="1"/>
      <c r="G493" s="1"/>
      <c r="H493" s="1"/>
      <c r="I493" s="1"/>
      <c r="J493" s="1"/>
    </row>
    <row r="494" spans="2:10" ht="13">
      <c r="B494" s="1"/>
      <c r="C494" s="1"/>
      <c r="D494" s="1"/>
      <c r="E494" s="1"/>
      <c r="F494" s="1"/>
      <c r="G494" s="1"/>
      <c r="H494" s="1"/>
      <c r="I494" s="1"/>
      <c r="J494" s="1"/>
    </row>
    <row r="495" spans="2:10" ht="13">
      <c r="B495" s="1"/>
      <c r="C495" s="1"/>
      <c r="D495" s="1"/>
      <c r="E495" s="1"/>
      <c r="F495" s="1"/>
      <c r="G495" s="1"/>
      <c r="H495" s="1"/>
      <c r="I495" s="1"/>
      <c r="J495" s="1"/>
    </row>
    <row r="496" spans="2:10" ht="13">
      <c r="B496" s="1"/>
      <c r="C496" s="1"/>
      <c r="D496" s="1"/>
      <c r="E496" s="1"/>
      <c r="F496" s="1"/>
      <c r="G496" s="1"/>
      <c r="H496" s="1"/>
      <c r="I496" s="1"/>
      <c r="J496" s="1"/>
    </row>
    <row r="497" spans="2:10" ht="13">
      <c r="B497" s="1"/>
      <c r="C497" s="1"/>
      <c r="D497" s="1"/>
      <c r="E497" s="1"/>
      <c r="F497" s="1"/>
      <c r="G497" s="1"/>
      <c r="H497" s="1"/>
      <c r="I497" s="1"/>
      <c r="J497" s="1"/>
    </row>
    <row r="498" spans="2:10" ht="13">
      <c r="B498" s="1"/>
      <c r="C498" s="1"/>
      <c r="D498" s="1"/>
      <c r="E498" s="1"/>
      <c r="F498" s="1"/>
      <c r="G498" s="1"/>
      <c r="H498" s="1"/>
      <c r="I498" s="1"/>
      <c r="J498" s="1"/>
    </row>
    <row r="499" spans="2:10" ht="13">
      <c r="B499" s="1"/>
      <c r="C499" s="1"/>
      <c r="D499" s="1"/>
      <c r="E499" s="1"/>
      <c r="F499" s="1"/>
      <c r="G499" s="1"/>
      <c r="H499" s="1"/>
      <c r="I499" s="1"/>
      <c r="J499" s="1"/>
    </row>
    <row r="500" spans="2:10" ht="13">
      <c r="B500" s="1"/>
      <c r="C500" s="1"/>
      <c r="D500" s="1"/>
      <c r="E500" s="1"/>
      <c r="F500" s="1"/>
      <c r="G500" s="1"/>
      <c r="H500" s="1"/>
      <c r="I500" s="1"/>
      <c r="J500" s="1"/>
    </row>
    <row r="501" spans="2:10" ht="13">
      <c r="B501" s="1"/>
      <c r="C501" s="1"/>
      <c r="D501" s="1"/>
      <c r="E501" s="1"/>
      <c r="F501" s="1"/>
      <c r="G501" s="1"/>
      <c r="H501" s="1"/>
      <c r="I501" s="1"/>
      <c r="J501" s="1"/>
    </row>
    <row r="502" spans="2:10" ht="13">
      <c r="B502" s="1"/>
      <c r="C502" s="1"/>
      <c r="D502" s="1"/>
      <c r="E502" s="1"/>
      <c r="F502" s="1"/>
      <c r="G502" s="1"/>
      <c r="H502" s="1"/>
      <c r="I502" s="1"/>
      <c r="J502" s="1"/>
    </row>
    <row r="503" spans="2:10" ht="13">
      <c r="B503" s="1"/>
      <c r="C503" s="1"/>
      <c r="D503" s="1"/>
      <c r="E503" s="1"/>
      <c r="F503" s="1"/>
      <c r="G503" s="1"/>
      <c r="H503" s="1"/>
      <c r="I503" s="1"/>
      <c r="J503" s="1"/>
    </row>
    <row r="504" spans="2:10" ht="13">
      <c r="B504" s="1"/>
      <c r="C504" s="1"/>
      <c r="D504" s="1"/>
      <c r="E504" s="1"/>
      <c r="F504" s="1"/>
      <c r="G504" s="1"/>
      <c r="H504" s="1"/>
      <c r="I504" s="1"/>
      <c r="J504" s="1"/>
    </row>
    <row r="505" spans="2:10" ht="13">
      <c r="B505" s="1"/>
      <c r="C505" s="1"/>
      <c r="D505" s="1"/>
      <c r="E505" s="1"/>
      <c r="F505" s="1"/>
      <c r="G505" s="1"/>
      <c r="H505" s="1"/>
      <c r="I505" s="1"/>
      <c r="J505" s="1"/>
    </row>
    <row r="506" spans="2:10" ht="13">
      <c r="B506" s="1"/>
      <c r="C506" s="1"/>
      <c r="D506" s="1"/>
      <c r="E506" s="1"/>
      <c r="F506" s="1"/>
      <c r="G506" s="1"/>
      <c r="H506" s="1"/>
      <c r="I506" s="1"/>
      <c r="J506" s="1"/>
    </row>
    <row r="507" spans="2:10" ht="13">
      <c r="B507" s="1"/>
      <c r="C507" s="1"/>
      <c r="D507" s="1"/>
      <c r="E507" s="1"/>
      <c r="F507" s="1"/>
      <c r="G507" s="1"/>
      <c r="H507" s="1"/>
      <c r="I507" s="1"/>
      <c r="J507" s="1"/>
    </row>
    <row r="508" spans="2:10" ht="13">
      <c r="B508" s="1"/>
      <c r="C508" s="1"/>
      <c r="D508" s="1"/>
      <c r="E508" s="1"/>
      <c r="F508" s="1"/>
      <c r="G508" s="1"/>
      <c r="H508" s="1"/>
      <c r="I508" s="1"/>
      <c r="J508" s="1"/>
    </row>
    <row r="509" spans="2:10" ht="13">
      <c r="B509" s="1"/>
      <c r="C509" s="1"/>
      <c r="D509" s="1"/>
      <c r="E509" s="1"/>
      <c r="F509" s="1"/>
      <c r="G509" s="1"/>
      <c r="H509" s="1"/>
      <c r="I509" s="1"/>
      <c r="J509" s="1"/>
    </row>
    <row r="510" spans="2:10" ht="13">
      <c r="B510" s="1"/>
      <c r="C510" s="1"/>
      <c r="D510" s="1"/>
      <c r="E510" s="1"/>
      <c r="F510" s="1"/>
      <c r="G510" s="1"/>
      <c r="H510" s="1"/>
      <c r="I510" s="1"/>
      <c r="J510" s="1"/>
    </row>
    <row r="511" spans="2:10" ht="13">
      <c r="B511" s="1"/>
      <c r="C511" s="1"/>
      <c r="D511" s="1"/>
      <c r="E511" s="1"/>
      <c r="F511" s="1"/>
      <c r="G511" s="1"/>
      <c r="H511" s="1"/>
      <c r="I511" s="1"/>
      <c r="J511" s="1"/>
    </row>
    <row r="512" spans="2:10" ht="13">
      <c r="B512" s="1"/>
      <c r="C512" s="1"/>
      <c r="D512" s="1"/>
      <c r="E512" s="1"/>
      <c r="F512" s="1"/>
      <c r="G512" s="1"/>
      <c r="H512" s="1"/>
      <c r="I512" s="1"/>
      <c r="J512" s="1"/>
    </row>
    <row r="513" spans="2:10" ht="13">
      <c r="B513" s="1"/>
      <c r="C513" s="1"/>
      <c r="D513" s="1"/>
      <c r="E513" s="1"/>
      <c r="F513" s="1"/>
      <c r="G513" s="1"/>
      <c r="H513" s="1"/>
      <c r="I513" s="1"/>
      <c r="J513" s="1"/>
    </row>
    <row r="514" spans="2:10" ht="13">
      <c r="B514" s="1"/>
      <c r="C514" s="1"/>
      <c r="D514" s="1"/>
      <c r="E514" s="1"/>
      <c r="F514" s="1"/>
      <c r="G514" s="1"/>
      <c r="H514" s="1"/>
      <c r="I514" s="1"/>
      <c r="J514" s="1"/>
    </row>
    <row r="515" spans="2:10" ht="13">
      <c r="B515" s="1"/>
      <c r="C515" s="1"/>
      <c r="D515" s="1"/>
      <c r="E515" s="1"/>
      <c r="F515" s="1"/>
      <c r="G515" s="1"/>
      <c r="H515" s="1"/>
      <c r="I515" s="1"/>
      <c r="J515" s="1"/>
    </row>
    <row r="516" spans="2:10" ht="13">
      <c r="B516" s="1"/>
      <c r="C516" s="1"/>
      <c r="D516" s="1"/>
      <c r="E516" s="1"/>
      <c r="F516" s="1"/>
      <c r="G516" s="1"/>
      <c r="H516" s="1"/>
      <c r="I516" s="1"/>
      <c r="J516" s="1"/>
    </row>
    <row r="517" spans="2:10" ht="13">
      <c r="B517" s="1"/>
      <c r="C517" s="1"/>
      <c r="D517" s="1"/>
      <c r="E517" s="1"/>
      <c r="F517" s="1"/>
      <c r="G517" s="1"/>
      <c r="H517" s="1"/>
      <c r="I517" s="1"/>
      <c r="J517" s="1"/>
    </row>
    <row r="518" spans="2:10" ht="13">
      <c r="B518" s="1"/>
      <c r="C518" s="1"/>
      <c r="D518" s="1"/>
      <c r="E518" s="1"/>
      <c r="F518" s="1"/>
      <c r="G518" s="1"/>
      <c r="H518" s="1"/>
      <c r="I518" s="1"/>
      <c r="J518" s="1"/>
    </row>
    <row r="519" spans="2:10" ht="13">
      <c r="B519" s="1"/>
      <c r="C519" s="1"/>
      <c r="D519" s="1"/>
      <c r="E519" s="1"/>
      <c r="F519" s="1"/>
      <c r="G519" s="1"/>
      <c r="H519" s="1"/>
      <c r="I519" s="1"/>
      <c r="J519" s="1"/>
    </row>
    <row r="520" spans="2:10" ht="13">
      <c r="B520" s="1"/>
      <c r="C520" s="1"/>
      <c r="D520" s="1"/>
      <c r="E520" s="1"/>
      <c r="F520" s="1"/>
      <c r="G520" s="1"/>
      <c r="H520" s="1"/>
      <c r="I520" s="1"/>
      <c r="J520" s="1"/>
    </row>
    <row r="521" spans="2:10" ht="13">
      <c r="B521" s="1"/>
      <c r="C521" s="1"/>
      <c r="D521" s="1"/>
      <c r="E521" s="1"/>
      <c r="F521" s="1"/>
      <c r="G521" s="1"/>
      <c r="H521" s="1"/>
      <c r="I521" s="1"/>
      <c r="J521" s="1"/>
    </row>
    <row r="522" spans="2:10" ht="13">
      <c r="B522" s="1"/>
      <c r="C522" s="1"/>
      <c r="D522" s="1"/>
      <c r="E522" s="1"/>
      <c r="F522" s="1"/>
      <c r="G522" s="1"/>
      <c r="H522" s="1"/>
      <c r="I522" s="1"/>
      <c r="J522" s="1"/>
    </row>
    <row r="523" spans="2:10" ht="13">
      <c r="B523" s="1"/>
      <c r="C523" s="1"/>
      <c r="D523" s="1"/>
      <c r="E523" s="1"/>
      <c r="F523" s="1"/>
      <c r="G523" s="1"/>
      <c r="H523" s="1"/>
      <c r="I523" s="1"/>
      <c r="J523" s="1"/>
    </row>
    <row r="524" spans="2:10" ht="13">
      <c r="B524" s="1"/>
      <c r="C524" s="1"/>
      <c r="D524" s="1"/>
      <c r="E524" s="1"/>
      <c r="F524" s="1"/>
      <c r="G524" s="1"/>
      <c r="H524" s="1"/>
      <c r="I524" s="1"/>
      <c r="J524" s="1"/>
    </row>
    <row r="525" spans="2:10" ht="13">
      <c r="B525" s="1"/>
      <c r="C525" s="1"/>
      <c r="D525" s="1"/>
      <c r="E525" s="1"/>
      <c r="F525" s="1"/>
      <c r="G525" s="1"/>
      <c r="H525" s="1"/>
      <c r="I525" s="1"/>
      <c r="J525" s="1"/>
    </row>
    <row r="526" spans="2:10" ht="13">
      <c r="B526" s="1"/>
      <c r="C526" s="1"/>
      <c r="D526" s="1"/>
      <c r="E526" s="1"/>
      <c r="F526" s="1"/>
      <c r="G526" s="1"/>
      <c r="H526" s="1"/>
      <c r="I526" s="1"/>
      <c r="J526" s="1"/>
    </row>
    <row r="527" spans="2:10" ht="13">
      <c r="B527" s="1"/>
      <c r="C527" s="1"/>
      <c r="D527" s="1"/>
      <c r="E527" s="1"/>
      <c r="F527" s="1"/>
      <c r="G527" s="1"/>
      <c r="H527" s="1"/>
      <c r="I527" s="1"/>
      <c r="J527" s="1"/>
    </row>
    <row r="528" spans="2:10" ht="13">
      <c r="B528" s="1"/>
      <c r="C528" s="1"/>
      <c r="D528" s="1"/>
      <c r="E528" s="1"/>
      <c r="F528" s="1"/>
      <c r="G528" s="1"/>
      <c r="H528" s="1"/>
      <c r="I528" s="1"/>
      <c r="J528" s="1"/>
    </row>
    <row r="529" spans="2:10" ht="13">
      <c r="B529" s="1"/>
      <c r="C529" s="1"/>
      <c r="D529" s="1"/>
      <c r="E529" s="1"/>
      <c r="F529" s="1"/>
      <c r="G529" s="1"/>
      <c r="H529" s="1"/>
      <c r="I529" s="1"/>
      <c r="J529" s="1"/>
    </row>
    <row r="530" spans="2:10" ht="13">
      <c r="B530" s="1"/>
      <c r="C530" s="1"/>
      <c r="D530" s="1"/>
      <c r="E530" s="1"/>
      <c r="F530" s="1"/>
      <c r="G530" s="1"/>
      <c r="H530" s="1"/>
      <c r="I530" s="1"/>
      <c r="J530" s="1"/>
    </row>
    <row r="531" spans="2:10" ht="13">
      <c r="B531" s="1"/>
      <c r="C531" s="1"/>
      <c r="D531" s="1"/>
      <c r="E531" s="1"/>
      <c r="F531" s="1"/>
      <c r="G531" s="1"/>
      <c r="H531" s="1"/>
      <c r="I531" s="1"/>
      <c r="J531" s="1"/>
    </row>
    <row r="532" spans="2:10" ht="13">
      <c r="B532" s="1"/>
      <c r="C532" s="1"/>
      <c r="D532" s="1"/>
      <c r="E532" s="1"/>
      <c r="F532" s="1"/>
      <c r="G532" s="1"/>
      <c r="H532" s="1"/>
      <c r="I532" s="1"/>
      <c r="J532" s="1"/>
    </row>
    <row r="533" spans="2:10" ht="13">
      <c r="B533" s="1"/>
      <c r="C533" s="1"/>
      <c r="D533" s="1"/>
      <c r="E533" s="1"/>
      <c r="F533" s="1"/>
      <c r="G533" s="1"/>
      <c r="H533" s="1"/>
      <c r="I533" s="1"/>
      <c r="J533" s="1"/>
    </row>
    <row r="534" spans="2:10" ht="13">
      <c r="B534" s="1"/>
      <c r="C534" s="1"/>
      <c r="D534" s="1"/>
      <c r="E534" s="1"/>
      <c r="F534" s="1"/>
      <c r="G534" s="1"/>
      <c r="H534" s="1"/>
      <c r="I534" s="1"/>
      <c r="J534" s="1"/>
    </row>
    <row r="535" spans="2:10" ht="13">
      <c r="B535" s="1"/>
      <c r="C535" s="1"/>
      <c r="D535" s="1"/>
      <c r="E535" s="1"/>
      <c r="F535" s="1"/>
      <c r="G535" s="1"/>
      <c r="H535" s="1"/>
      <c r="I535" s="1"/>
      <c r="J535" s="1"/>
    </row>
    <row r="536" spans="2:10" ht="13">
      <c r="B536" s="1"/>
      <c r="C536" s="1"/>
      <c r="D536" s="1"/>
      <c r="E536" s="1"/>
      <c r="F536" s="1"/>
      <c r="G536" s="1"/>
      <c r="H536" s="1"/>
      <c r="I536" s="1"/>
      <c r="J536" s="1"/>
    </row>
    <row r="537" spans="2:10" ht="13">
      <c r="B537" s="1"/>
      <c r="C537" s="1"/>
      <c r="D537" s="1"/>
      <c r="E537" s="1"/>
      <c r="F537" s="1"/>
      <c r="G537" s="1"/>
      <c r="H537" s="1"/>
      <c r="I537" s="1"/>
      <c r="J537" s="1"/>
    </row>
    <row r="538" spans="2:10" ht="13">
      <c r="B538" s="1"/>
      <c r="C538" s="1"/>
      <c r="D538" s="1"/>
      <c r="E538" s="1"/>
      <c r="F538" s="1"/>
      <c r="G538" s="1"/>
      <c r="H538" s="1"/>
      <c r="I538" s="1"/>
      <c r="J538" s="1"/>
    </row>
    <row r="539" spans="2:10" ht="13">
      <c r="B539" s="1"/>
      <c r="C539" s="1"/>
      <c r="D539" s="1"/>
      <c r="E539" s="1"/>
      <c r="F539" s="1"/>
      <c r="G539" s="1"/>
      <c r="H539" s="1"/>
      <c r="I539" s="1"/>
      <c r="J539" s="1"/>
    </row>
    <row r="540" spans="2:10" ht="13">
      <c r="B540" s="1"/>
      <c r="C540" s="1"/>
      <c r="D540" s="1"/>
      <c r="E540" s="1"/>
      <c r="F540" s="1"/>
      <c r="G540" s="1"/>
      <c r="H540" s="1"/>
      <c r="I540" s="1"/>
      <c r="J540" s="1"/>
    </row>
    <row r="541" spans="2:10" ht="13">
      <c r="B541" s="1"/>
      <c r="C541" s="1"/>
      <c r="D541" s="1"/>
      <c r="E541" s="1"/>
      <c r="F541" s="1"/>
      <c r="G541" s="1"/>
      <c r="H541" s="1"/>
      <c r="I541" s="1"/>
      <c r="J541" s="1"/>
    </row>
    <row r="542" spans="2:10" ht="13">
      <c r="B542" s="1"/>
      <c r="C542" s="1"/>
      <c r="D542" s="1"/>
      <c r="E542" s="1"/>
      <c r="F542" s="1"/>
      <c r="G542" s="1"/>
      <c r="H542" s="1"/>
      <c r="I542" s="1"/>
      <c r="J542" s="1"/>
    </row>
    <row r="543" spans="2:10" ht="13">
      <c r="B543" s="1"/>
      <c r="C543" s="1"/>
      <c r="D543" s="1"/>
      <c r="E543" s="1"/>
      <c r="F543" s="1"/>
      <c r="G543" s="1"/>
      <c r="H543" s="1"/>
      <c r="I543" s="1"/>
      <c r="J543" s="1"/>
    </row>
    <row r="544" spans="2:10" ht="13">
      <c r="B544" s="1"/>
      <c r="C544" s="1"/>
      <c r="D544" s="1"/>
      <c r="E544" s="1"/>
      <c r="F544" s="1"/>
      <c r="G544" s="1"/>
      <c r="H544" s="1"/>
      <c r="I544" s="1"/>
      <c r="J544" s="1"/>
    </row>
    <row r="545" spans="2:10" ht="13">
      <c r="B545" s="1"/>
      <c r="C545" s="1"/>
      <c r="D545" s="1"/>
      <c r="E545" s="1"/>
      <c r="F545" s="1"/>
      <c r="G545" s="1"/>
      <c r="H545" s="1"/>
      <c r="I545" s="1"/>
      <c r="J545" s="1"/>
    </row>
    <row r="546" spans="2:10" ht="13">
      <c r="B546" s="1"/>
      <c r="C546" s="1"/>
      <c r="D546" s="1"/>
      <c r="E546" s="1"/>
      <c r="F546" s="1"/>
      <c r="G546" s="1"/>
      <c r="H546" s="1"/>
      <c r="I546" s="1"/>
      <c r="J546" s="1"/>
    </row>
    <row r="547" spans="2:10" ht="13">
      <c r="B547" s="1"/>
      <c r="C547" s="1"/>
      <c r="D547" s="1"/>
      <c r="E547" s="1"/>
      <c r="F547" s="1"/>
      <c r="G547" s="1"/>
      <c r="H547" s="1"/>
      <c r="I547" s="1"/>
      <c r="J547" s="1"/>
    </row>
    <row r="548" spans="2:10" ht="13">
      <c r="B548" s="1"/>
      <c r="C548" s="1"/>
      <c r="D548" s="1"/>
      <c r="E548" s="1"/>
      <c r="F548" s="1"/>
      <c r="G548" s="1"/>
      <c r="H548" s="1"/>
      <c r="I548" s="1"/>
      <c r="J548" s="1"/>
    </row>
    <row r="549" spans="2:10" ht="13">
      <c r="B549" s="1"/>
      <c r="C549" s="1"/>
      <c r="D549" s="1"/>
      <c r="E549" s="1"/>
      <c r="F549" s="1"/>
      <c r="G549" s="1"/>
      <c r="H549" s="1"/>
      <c r="I549" s="1"/>
      <c r="J549" s="1"/>
    </row>
    <row r="550" spans="2:10" ht="13">
      <c r="B550" s="1"/>
      <c r="C550" s="1"/>
      <c r="D550" s="1"/>
      <c r="E550" s="1"/>
      <c r="F550" s="1"/>
      <c r="G550" s="1"/>
      <c r="H550" s="1"/>
      <c r="I550" s="1"/>
      <c r="J550" s="1"/>
    </row>
    <row r="551" spans="2:10" ht="13">
      <c r="B551" s="1"/>
      <c r="C551" s="1"/>
      <c r="D551" s="1"/>
      <c r="E551" s="1"/>
      <c r="F551" s="1"/>
      <c r="G551" s="1"/>
      <c r="H551" s="1"/>
      <c r="I551" s="1"/>
      <c r="J551" s="1"/>
    </row>
    <row r="552" spans="2:10" ht="13">
      <c r="B552" s="1"/>
      <c r="C552" s="1"/>
      <c r="D552" s="1"/>
      <c r="E552" s="1"/>
      <c r="F552" s="1"/>
      <c r="G552" s="1"/>
      <c r="H552" s="1"/>
      <c r="I552" s="1"/>
      <c r="J552" s="1"/>
    </row>
    <row r="553" spans="2:10" ht="13">
      <c r="B553" s="1"/>
      <c r="C553" s="1"/>
      <c r="D553" s="1"/>
      <c r="E553" s="1"/>
      <c r="F553" s="1"/>
      <c r="G553" s="1"/>
      <c r="H553" s="1"/>
      <c r="I553" s="1"/>
      <c r="J553" s="1"/>
    </row>
    <row r="554" spans="2:10" ht="13">
      <c r="B554" s="1"/>
      <c r="C554" s="1"/>
      <c r="D554" s="1"/>
      <c r="E554" s="1"/>
      <c r="F554" s="1"/>
      <c r="G554" s="1"/>
      <c r="H554" s="1"/>
      <c r="I554" s="1"/>
      <c r="J554" s="1"/>
    </row>
    <row r="555" spans="2:10" ht="13">
      <c r="B555" s="1"/>
      <c r="C555" s="1"/>
      <c r="D555" s="1"/>
      <c r="E555" s="1"/>
      <c r="F555" s="1"/>
      <c r="G555" s="1"/>
      <c r="H555" s="1"/>
      <c r="I555" s="1"/>
      <c r="J555" s="1"/>
    </row>
    <row r="556" spans="2:10" ht="13">
      <c r="B556" s="1"/>
      <c r="C556" s="1"/>
      <c r="D556" s="1"/>
      <c r="E556" s="1"/>
      <c r="F556" s="1"/>
      <c r="G556" s="1"/>
      <c r="H556" s="1"/>
      <c r="I556" s="1"/>
      <c r="J556" s="1"/>
    </row>
    <row r="557" spans="2:10" ht="13">
      <c r="B557" s="1"/>
      <c r="C557" s="1"/>
      <c r="D557" s="1"/>
      <c r="E557" s="1"/>
      <c r="F557" s="1"/>
      <c r="G557" s="1"/>
      <c r="H557" s="1"/>
      <c r="I557" s="1"/>
      <c r="J557" s="1"/>
    </row>
    <row r="558" spans="2:10" ht="13">
      <c r="B558" s="1"/>
      <c r="C558" s="1"/>
      <c r="D558" s="1"/>
      <c r="E558" s="1"/>
      <c r="F558" s="1"/>
      <c r="G558" s="1"/>
      <c r="H558" s="1"/>
      <c r="I558" s="1"/>
      <c r="J558" s="1"/>
    </row>
    <row r="559" spans="2:10" ht="13">
      <c r="B559" s="1"/>
      <c r="C559" s="1"/>
      <c r="D559" s="1"/>
      <c r="E559" s="1"/>
      <c r="F559" s="1"/>
      <c r="G559" s="1"/>
      <c r="H559" s="1"/>
      <c r="I559" s="1"/>
      <c r="J559" s="1"/>
    </row>
    <row r="560" spans="2:10" ht="13">
      <c r="B560" s="1"/>
      <c r="C560" s="1"/>
      <c r="D560" s="1"/>
      <c r="E560" s="1"/>
      <c r="F560" s="1"/>
      <c r="G560" s="1"/>
      <c r="H560" s="1"/>
      <c r="I560" s="1"/>
      <c r="J560" s="1"/>
    </row>
    <row r="561" spans="2:10" ht="13">
      <c r="B561" s="1"/>
      <c r="C561" s="1"/>
      <c r="D561" s="1"/>
      <c r="E561" s="1"/>
      <c r="F561" s="1"/>
      <c r="G561" s="1"/>
      <c r="H561" s="1"/>
      <c r="I561" s="1"/>
      <c r="J561" s="1"/>
    </row>
    <row r="562" spans="2:10" ht="13">
      <c r="B562" s="1"/>
      <c r="C562" s="1"/>
      <c r="D562" s="1"/>
      <c r="E562" s="1"/>
      <c r="F562" s="1"/>
      <c r="G562" s="1"/>
      <c r="H562" s="1"/>
      <c r="I562" s="1"/>
      <c r="J562" s="1"/>
    </row>
    <row r="563" spans="2:10" ht="13">
      <c r="B563" s="1"/>
      <c r="C563" s="1"/>
      <c r="D563" s="1"/>
      <c r="E563" s="1"/>
      <c r="F563" s="1"/>
      <c r="G563" s="1"/>
      <c r="H563" s="1"/>
      <c r="I563" s="1"/>
      <c r="J563" s="1"/>
    </row>
    <row r="564" spans="2:10" ht="13">
      <c r="B564" s="1"/>
      <c r="C564" s="1"/>
      <c r="D564" s="1"/>
      <c r="E564" s="1"/>
      <c r="F564" s="1"/>
      <c r="G564" s="1"/>
      <c r="H564" s="1"/>
      <c r="I564" s="1"/>
      <c r="J564" s="1"/>
    </row>
    <row r="565" spans="2:10" ht="13">
      <c r="B565" s="1"/>
      <c r="C565" s="1"/>
      <c r="D565" s="1"/>
      <c r="E565" s="1"/>
      <c r="F565" s="1"/>
      <c r="G565" s="1"/>
      <c r="H565" s="1"/>
      <c r="I565" s="1"/>
      <c r="J565" s="1"/>
    </row>
    <row r="566" spans="2:10" ht="13">
      <c r="B566" s="1"/>
      <c r="C566" s="1"/>
      <c r="D566" s="1"/>
      <c r="E566" s="1"/>
      <c r="F566" s="1"/>
      <c r="G566" s="1"/>
      <c r="H566" s="1"/>
      <c r="I566" s="1"/>
      <c r="J566" s="1"/>
    </row>
    <row r="567" spans="2:10" ht="13">
      <c r="B567" s="1"/>
      <c r="C567" s="1"/>
      <c r="D567" s="1"/>
      <c r="E567" s="1"/>
      <c r="F567" s="1"/>
      <c r="G567" s="1"/>
      <c r="H567" s="1"/>
      <c r="I567" s="1"/>
      <c r="J567" s="1"/>
    </row>
    <row r="568" spans="2:10" ht="13">
      <c r="B568" s="1"/>
      <c r="C568" s="1"/>
      <c r="D568" s="1"/>
      <c r="E568" s="1"/>
      <c r="F568" s="1"/>
      <c r="G568" s="1"/>
      <c r="H568" s="1"/>
      <c r="I568" s="1"/>
      <c r="J568" s="1"/>
    </row>
    <row r="569" spans="2:10" ht="13">
      <c r="B569" s="1"/>
      <c r="C569" s="1"/>
      <c r="D569" s="1"/>
      <c r="E569" s="1"/>
      <c r="F569" s="1"/>
      <c r="G569" s="1"/>
      <c r="H569" s="1"/>
      <c r="I569" s="1"/>
      <c r="J569" s="1"/>
    </row>
    <row r="570" spans="2:10" ht="13">
      <c r="B570" s="1"/>
      <c r="C570" s="1"/>
      <c r="D570" s="1"/>
      <c r="E570" s="1"/>
      <c r="F570" s="1"/>
      <c r="G570" s="1"/>
      <c r="H570" s="1"/>
      <c r="I570" s="1"/>
      <c r="J570" s="1"/>
    </row>
    <row r="571" spans="2:10" ht="13">
      <c r="B571" s="1"/>
      <c r="C571" s="1"/>
      <c r="D571" s="1"/>
      <c r="E571" s="1"/>
      <c r="F571" s="1"/>
      <c r="G571" s="1"/>
      <c r="H571" s="1"/>
      <c r="I571" s="1"/>
      <c r="J571" s="1"/>
    </row>
    <row r="572" spans="2:10" ht="13">
      <c r="B572" s="1"/>
      <c r="C572" s="1"/>
      <c r="D572" s="1"/>
      <c r="E572" s="1"/>
      <c r="F572" s="1"/>
      <c r="G572" s="1"/>
      <c r="H572" s="1"/>
      <c r="I572" s="1"/>
      <c r="J572" s="1"/>
    </row>
    <row r="573" spans="2:10" ht="13">
      <c r="B573" s="1"/>
      <c r="C573" s="1"/>
      <c r="D573" s="1"/>
      <c r="E573" s="1"/>
      <c r="F573" s="1"/>
      <c r="G573" s="1"/>
      <c r="H573" s="1"/>
      <c r="I573" s="1"/>
      <c r="J573" s="1"/>
    </row>
    <row r="574" spans="2:10" ht="13">
      <c r="B574" s="1"/>
      <c r="C574" s="1"/>
      <c r="D574" s="1"/>
      <c r="E574" s="1"/>
      <c r="F574" s="1"/>
      <c r="G574" s="1"/>
      <c r="H574" s="1"/>
      <c r="I574" s="1"/>
      <c r="J574" s="1"/>
    </row>
    <row r="575" spans="2:10" ht="13">
      <c r="B575" s="1"/>
      <c r="C575" s="1"/>
      <c r="D575" s="1"/>
      <c r="E575" s="1"/>
      <c r="F575" s="1"/>
      <c r="G575" s="1"/>
      <c r="H575" s="1"/>
      <c r="I575" s="1"/>
      <c r="J575" s="1"/>
    </row>
    <row r="576" spans="2:10" ht="13">
      <c r="B576" s="1"/>
      <c r="C576" s="1"/>
      <c r="D576" s="1"/>
      <c r="E576" s="1"/>
      <c r="F576" s="1"/>
      <c r="G576" s="1"/>
      <c r="H576" s="1"/>
      <c r="I576" s="1"/>
      <c r="J576" s="1"/>
    </row>
    <row r="577" spans="2:10" ht="13">
      <c r="B577" s="1"/>
      <c r="C577" s="1"/>
      <c r="D577" s="1"/>
      <c r="E577" s="1"/>
      <c r="F577" s="1"/>
      <c r="G577" s="1"/>
      <c r="H577" s="1"/>
      <c r="I577" s="1"/>
      <c r="J577" s="1"/>
    </row>
    <row r="578" spans="2:10" ht="13">
      <c r="B578" s="1"/>
      <c r="C578" s="1"/>
      <c r="D578" s="1"/>
      <c r="E578" s="1"/>
      <c r="F578" s="1"/>
      <c r="G578" s="1"/>
      <c r="H578" s="1"/>
      <c r="I578" s="1"/>
      <c r="J578" s="1"/>
    </row>
    <row r="579" spans="2:10" ht="13">
      <c r="B579" s="1"/>
      <c r="C579" s="1"/>
      <c r="D579" s="1"/>
      <c r="E579" s="1"/>
      <c r="F579" s="1"/>
      <c r="G579" s="1"/>
      <c r="H579" s="1"/>
      <c r="I579" s="1"/>
      <c r="J579" s="1"/>
    </row>
    <row r="580" spans="2:10" ht="13">
      <c r="B580" s="1"/>
      <c r="C580" s="1"/>
      <c r="D580" s="1"/>
      <c r="E580" s="1"/>
      <c r="F580" s="1"/>
      <c r="G580" s="1"/>
      <c r="H580" s="1"/>
      <c r="I580" s="1"/>
      <c r="J580" s="1"/>
    </row>
    <row r="581" spans="2:10" ht="13">
      <c r="B581" s="1"/>
      <c r="C581" s="1"/>
      <c r="D581" s="1"/>
      <c r="E581" s="1"/>
      <c r="F581" s="1"/>
      <c r="G581" s="1"/>
      <c r="H581" s="1"/>
      <c r="I581" s="1"/>
      <c r="J581" s="1"/>
    </row>
    <row r="582" spans="2:10" ht="13">
      <c r="B582" s="1"/>
      <c r="C582" s="1"/>
      <c r="D582" s="1"/>
      <c r="E582" s="1"/>
      <c r="F582" s="1"/>
      <c r="G582" s="1"/>
      <c r="H582" s="1"/>
      <c r="I582" s="1"/>
      <c r="J582" s="1"/>
    </row>
    <row r="583" spans="2:10" ht="13">
      <c r="B583" s="1"/>
      <c r="C583" s="1"/>
      <c r="D583" s="1"/>
      <c r="E583" s="1"/>
      <c r="F583" s="1"/>
      <c r="G583" s="1"/>
      <c r="H583" s="1"/>
      <c r="I583" s="1"/>
      <c r="J583" s="1"/>
    </row>
    <row r="584" spans="2:10" ht="13">
      <c r="B584" s="1"/>
      <c r="C584" s="1"/>
      <c r="D584" s="1"/>
      <c r="E584" s="1"/>
      <c r="F584" s="1"/>
      <c r="G584" s="1"/>
      <c r="H584" s="1"/>
      <c r="I584" s="1"/>
      <c r="J584" s="1"/>
    </row>
    <row r="585" spans="2:10" ht="13">
      <c r="B585" s="1"/>
      <c r="C585" s="1"/>
      <c r="D585" s="1"/>
      <c r="E585" s="1"/>
      <c r="F585" s="1"/>
      <c r="G585" s="1"/>
      <c r="H585" s="1"/>
      <c r="I585" s="1"/>
      <c r="J585" s="1"/>
    </row>
    <row r="586" spans="2:10" ht="13">
      <c r="B586" s="1"/>
      <c r="C586" s="1"/>
      <c r="D586" s="1"/>
      <c r="E586" s="1"/>
      <c r="F586" s="1"/>
      <c r="G586" s="1"/>
      <c r="H586" s="1"/>
      <c r="I586" s="1"/>
      <c r="J586" s="1"/>
    </row>
    <row r="587" spans="2:10" ht="13">
      <c r="B587" s="1"/>
      <c r="C587" s="1"/>
      <c r="D587" s="1"/>
      <c r="E587" s="1"/>
      <c r="F587" s="1"/>
      <c r="G587" s="1"/>
      <c r="H587" s="1"/>
      <c r="I587" s="1"/>
      <c r="J587" s="1"/>
    </row>
    <row r="588" spans="2:10" ht="13">
      <c r="B588" s="1"/>
      <c r="C588" s="1"/>
      <c r="D588" s="1"/>
      <c r="E588" s="1"/>
      <c r="F588" s="1"/>
      <c r="G588" s="1"/>
      <c r="H588" s="1"/>
      <c r="I588" s="1"/>
      <c r="J588" s="1"/>
    </row>
    <row r="589" spans="2:10" ht="13">
      <c r="B589" s="1"/>
      <c r="C589" s="1"/>
      <c r="D589" s="1"/>
      <c r="E589" s="1"/>
      <c r="F589" s="1"/>
      <c r="G589" s="1"/>
      <c r="H589" s="1"/>
      <c r="I589" s="1"/>
      <c r="J589" s="1"/>
    </row>
    <row r="590" spans="2:10" ht="13">
      <c r="B590" s="1"/>
      <c r="C590" s="1"/>
      <c r="D590" s="1"/>
      <c r="E590" s="1"/>
      <c r="F590" s="1"/>
      <c r="G590" s="1"/>
      <c r="H590" s="1"/>
      <c r="I590" s="1"/>
      <c r="J590" s="1"/>
    </row>
    <row r="591" spans="2:10" ht="13">
      <c r="B591" s="1"/>
      <c r="C591" s="1"/>
      <c r="D591" s="1"/>
      <c r="E591" s="1"/>
      <c r="F591" s="1"/>
      <c r="G591" s="1"/>
      <c r="H591" s="1"/>
      <c r="I591" s="1"/>
      <c r="J591" s="1"/>
    </row>
    <row r="592" spans="2:10" ht="13">
      <c r="B592" s="1"/>
      <c r="C592" s="1"/>
      <c r="D592" s="1"/>
      <c r="E592" s="1"/>
      <c r="F592" s="1"/>
      <c r="G592" s="1"/>
      <c r="H592" s="1"/>
      <c r="I592" s="1"/>
      <c r="J592" s="1"/>
    </row>
    <row r="593" spans="2:10" ht="13">
      <c r="B593" s="1"/>
      <c r="C593" s="1"/>
      <c r="D593" s="1"/>
      <c r="E593" s="1"/>
      <c r="F593" s="1"/>
      <c r="G593" s="1"/>
      <c r="H593" s="1"/>
      <c r="I593" s="1"/>
      <c r="J593" s="1"/>
    </row>
    <row r="594" spans="2:10" ht="13">
      <c r="B594" s="1"/>
      <c r="C594" s="1"/>
      <c r="D594" s="1"/>
      <c r="E594" s="1"/>
      <c r="F594" s="1"/>
      <c r="G594" s="1"/>
      <c r="H594" s="1"/>
      <c r="I594" s="1"/>
      <c r="J594" s="1"/>
    </row>
    <row r="595" spans="2:10" ht="13">
      <c r="B595" s="1"/>
      <c r="C595" s="1"/>
      <c r="D595" s="1"/>
      <c r="E595" s="1"/>
      <c r="F595" s="1"/>
      <c r="G595" s="1"/>
      <c r="H595" s="1"/>
      <c r="I595" s="1"/>
      <c r="J595" s="1"/>
    </row>
    <row r="596" spans="2:10" ht="13">
      <c r="B596" s="1"/>
      <c r="C596" s="1"/>
      <c r="D596" s="1"/>
      <c r="E596" s="1"/>
      <c r="F596" s="1"/>
      <c r="G596" s="1"/>
      <c r="H596" s="1"/>
      <c r="I596" s="1"/>
      <c r="J596" s="1"/>
    </row>
    <row r="597" spans="2:10" ht="13">
      <c r="B597" s="1"/>
      <c r="C597" s="1"/>
      <c r="D597" s="1"/>
      <c r="E597" s="1"/>
      <c r="F597" s="1"/>
      <c r="G597" s="1"/>
      <c r="H597" s="1"/>
      <c r="I597" s="1"/>
      <c r="J597" s="1"/>
    </row>
    <row r="598" spans="2:10" ht="13">
      <c r="B598" s="1"/>
      <c r="C598" s="1"/>
      <c r="D598" s="1"/>
      <c r="E598" s="1"/>
      <c r="F598" s="1"/>
      <c r="G598" s="1"/>
      <c r="H598" s="1"/>
      <c r="I598" s="1"/>
      <c r="J598" s="1"/>
    </row>
    <row r="599" spans="2:10" ht="13">
      <c r="B599" s="1"/>
      <c r="C599" s="1"/>
      <c r="D599" s="1"/>
      <c r="E599" s="1"/>
      <c r="F599" s="1"/>
      <c r="G599" s="1"/>
      <c r="H599" s="1"/>
      <c r="I599" s="1"/>
      <c r="J599" s="1"/>
    </row>
    <row r="600" spans="2:10" ht="13">
      <c r="B600" s="1"/>
      <c r="C600" s="1"/>
      <c r="D600" s="1"/>
      <c r="E600" s="1"/>
      <c r="F600" s="1"/>
      <c r="G600" s="1"/>
      <c r="H600" s="1"/>
      <c r="I600" s="1"/>
      <c r="J600" s="1"/>
    </row>
    <row r="601" spans="2:10" ht="13">
      <c r="B601" s="1"/>
      <c r="C601" s="1"/>
      <c r="D601" s="1"/>
      <c r="E601" s="1"/>
      <c r="F601" s="1"/>
      <c r="G601" s="1"/>
      <c r="H601" s="1"/>
      <c r="I601" s="1"/>
      <c r="J601" s="1"/>
    </row>
    <row r="602" spans="2:10" ht="13">
      <c r="B602" s="1"/>
      <c r="C602" s="1"/>
      <c r="D602" s="1"/>
      <c r="E602" s="1"/>
      <c r="F602" s="1"/>
      <c r="G602" s="1"/>
      <c r="H602" s="1"/>
      <c r="I602" s="1"/>
      <c r="J602" s="1"/>
    </row>
    <row r="603" spans="2:10" ht="13">
      <c r="B603" s="1"/>
      <c r="C603" s="1"/>
      <c r="D603" s="1"/>
      <c r="E603" s="1"/>
      <c r="F603" s="1"/>
      <c r="G603" s="1"/>
      <c r="H603" s="1"/>
      <c r="I603" s="1"/>
      <c r="J603" s="1"/>
    </row>
    <row r="604" spans="2:10" ht="13">
      <c r="B604" s="1"/>
      <c r="C604" s="1"/>
      <c r="D604" s="1"/>
      <c r="E604" s="1"/>
      <c r="F604" s="1"/>
      <c r="G604" s="1"/>
      <c r="H604" s="1"/>
      <c r="I604" s="1"/>
      <c r="J604" s="1"/>
    </row>
    <row r="605" spans="2:10" ht="13">
      <c r="B605" s="1"/>
      <c r="C605" s="1"/>
      <c r="D605" s="1"/>
      <c r="E605" s="1"/>
      <c r="F605" s="1"/>
      <c r="G605" s="1"/>
      <c r="H605" s="1"/>
      <c r="I605" s="1"/>
      <c r="J605" s="1"/>
    </row>
    <row r="606" spans="2:10" ht="13">
      <c r="B606" s="1"/>
      <c r="C606" s="1"/>
      <c r="D606" s="1"/>
      <c r="E606" s="1"/>
      <c r="F606" s="1"/>
      <c r="G606" s="1"/>
      <c r="H606" s="1"/>
      <c r="I606" s="1"/>
      <c r="J606" s="1"/>
    </row>
    <row r="607" spans="2:10" ht="13">
      <c r="B607" s="1"/>
      <c r="C607" s="1"/>
      <c r="D607" s="1"/>
      <c r="E607" s="1"/>
      <c r="F607" s="1"/>
      <c r="G607" s="1"/>
      <c r="H607" s="1"/>
      <c r="I607" s="1"/>
      <c r="J607" s="1"/>
    </row>
    <row r="608" spans="2:10" ht="13">
      <c r="B608" s="1"/>
      <c r="C608" s="1"/>
      <c r="D608" s="1"/>
      <c r="E608" s="1"/>
      <c r="F608" s="1"/>
      <c r="G608" s="1"/>
      <c r="H608" s="1"/>
      <c r="I608" s="1"/>
      <c r="J608" s="1"/>
    </row>
    <row r="609" spans="2:10" ht="13">
      <c r="B609" s="1"/>
      <c r="C609" s="1"/>
      <c r="D609" s="1"/>
      <c r="E609" s="1"/>
      <c r="F609" s="1"/>
      <c r="G609" s="1"/>
      <c r="H609" s="1"/>
      <c r="I609" s="1"/>
      <c r="J609" s="1"/>
    </row>
    <row r="610" spans="2:10" ht="13">
      <c r="B610" s="1"/>
      <c r="C610" s="1"/>
      <c r="D610" s="1"/>
      <c r="E610" s="1"/>
      <c r="F610" s="1"/>
      <c r="G610" s="1"/>
      <c r="H610" s="1"/>
      <c r="I610" s="1"/>
      <c r="J610" s="1"/>
    </row>
    <row r="611" spans="2:10" ht="13">
      <c r="B611" s="1"/>
      <c r="C611" s="1"/>
      <c r="D611" s="1"/>
      <c r="E611" s="1"/>
      <c r="F611" s="1"/>
      <c r="G611" s="1"/>
      <c r="H611" s="1"/>
      <c r="I611" s="1"/>
      <c r="J611" s="1"/>
    </row>
    <row r="612" spans="2:10" ht="13">
      <c r="B612" s="1"/>
      <c r="C612" s="1"/>
      <c r="D612" s="1"/>
      <c r="E612" s="1"/>
      <c r="F612" s="1"/>
      <c r="G612" s="1"/>
      <c r="H612" s="1"/>
      <c r="I612" s="1"/>
      <c r="J612" s="1"/>
    </row>
    <row r="613" spans="2:10" ht="13">
      <c r="B613" s="1"/>
      <c r="C613" s="1"/>
      <c r="D613" s="1"/>
      <c r="E613" s="1"/>
      <c r="F613" s="1"/>
      <c r="G613" s="1"/>
      <c r="H613" s="1"/>
      <c r="I613" s="1"/>
      <c r="J613" s="1"/>
    </row>
    <row r="614" spans="2:10" ht="13">
      <c r="B614" s="1"/>
      <c r="C614" s="1"/>
      <c r="D614" s="1"/>
      <c r="E614" s="1"/>
      <c r="F614" s="1"/>
      <c r="G614" s="1"/>
      <c r="H614" s="1"/>
      <c r="I614" s="1"/>
      <c r="J614" s="1"/>
    </row>
    <row r="615" spans="2:10" ht="13">
      <c r="B615" s="1"/>
      <c r="C615" s="1"/>
      <c r="D615" s="1"/>
      <c r="E615" s="1"/>
      <c r="F615" s="1"/>
      <c r="G615" s="1"/>
      <c r="H615" s="1"/>
      <c r="I615" s="1"/>
      <c r="J615" s="1"/>
    </row>
    <row r="616" spans="2:10" ht="13">
      <c r="B616" s="1"/>
      <c r="C616" s="1"/>
      <c r="D616" s="1"/>
      <c r="E616" s="1"/>
      <c r="F616" s="1"/>
      <c r="G616" s="1"/>
      <c r="H616" s="1"/>
      <c r="I616" s="1"/>
      <c r="J616" s="1"/>
    </row>
    <row r="617" spans="2:10" ht="13">
      <c r="B617" s="1"/>
      <c r="C617" s="1"/>
      <c r="D617" s="1"/>
      <c r="E617" s="1"/>
      <c r="F617" s="1"/>
      <c r="G617" s="1"/>
      <c r="H617" s="1"/>
      <c r="I617" s="1"/>
      <c r="J617" s="1"/>
    </row>
    <row r="618" spans="2:10" ht="13">
      <c r="B618" s="1"/>
      <c r="C618" s="1"/>
      <c r="D618" s="1"/>
      <c r="E618" s="1"/>
      <c r="F618" s="1"/>
      <c r="G618" s="1"/>
      <c r="H618" s="1"/>
      <c r="I618" s="1"/>
      <c r="J618" s="1"/>
    </row>
    <row r="619" spans="2:10" ht="13">
      <c r="B619" s="1"/>
      <c r="C619" s="1"/>
      <c r="D619" s="1"/>
      <c r="E619" s="1"/>
      <c r="F619" s="1"/>
      <c r="G619" s="1"/>
      <c r="H619" s="1"/>
      <c r="I619" s="1"/>
      <c r="J619" s="1"/>
    </row>
    <row r="620" spans="2:10" ht="13">
      <c r="B620" s="1"/>
      <c r="C620" s="1"/>
      <c r="D620" s="1"/>
      <c r="E620" s="1"/>
      <c r="F620" s="1"/>
      <c r="G620" s="1"/>
      <c r="H620" s="1"/>
      <c r="I620" s="1"/>
      <c r="J620" s="1"/>
    </row>
    <row r="621" spans="2:10" ht="13">
      <c r="B621" s="1"/>
      <c r="C621" s="1"/>
      <c r="D621" s="1"/>
      <c r="E621" s="1"/>
      <c r="F621" s="1"/>
      <c r="G621" s="1"/>
      <c r="H621" s="1"/>
      <c r="I621" s="1"/>
      <c r="J621" s="1"/>
    </row>
    <row r="622" spans="2:10" ht="13">
      <c r="B622" s="1"/>
      <c r="C622" s="1"/>
      <c r="D622" s="1"/>
      <c r="E622" s="1"/>
      <c r="F622" s="1"/>
      <c r="G622" s="1"/>
      <c r="H622" s="1"/>
      <c r="I622" s="1"/>
      <c r="J622" s="1"/>
    </row>
    <row r="623" spans="2:10" ht="13">
      <c r="B623" s="1"/>
      <c r="C623" s="1"/>
      <c r="D623" s="1"/>
      <c r="E623" s="1"/>
      <c r="F623" s="1"/>
      <c r="G623" s="1"/>
      <c r="H623" s="1"/>
      <c r="I623" s="1"/>
      <c r="J623" s="1"/>
    </row>
    <row r="624" spans="2:10" ht="13">
      <c r="B624" s="1"/>
      <c r="C624" s="1"/>
      <c r="D624" s="1"/>
      <c r="E624" s="1"/>
      <c r="F624" s="1"/>
      <c r="G624" s="1"/>
      <c r="H624" s="1"/>
      <c r="I624" s="1"/>
      <c r="J624" s="1"/>
    </row>
    <row r="625" spans="2:10" ht="13">
      <c r="B625" s="1"/>
      <c r="C625" s="1"/>
      <c r="D625" s="1"/>
      <c r="E625" s="1"/>
      <c r="F625" s="1"/>
      <c r="G625" s="1"/>
      <c r="H625" s="1"/>
      <c r="I625" s="1"/>
      <c r="J625" s="1"/>
    </row>
    <row r="626" spans="2:10" ht="13">
      <c r="B626" s="1"/>
      <c r="C626" s="1"/>
      <c r="D626" s="1"/>
      <c r="E626" s="1"/>
      <c r="F626" s="1"/>
      <c r="G626" s="1"/>
      <c r="H626" s="1"/>
      <c r="I626" s="1"/>
      <c r="J626" s="1"/>
    </row>
    <row r="627" spans="2:10" ht="13">
      <c r="B627" s="1"/>
      <c r="C627" s="1"/>
      <c r="D627" s="1"/>
      <c r="E627" s="1"/>
      <c r="F627" s="1"/>
      <c r="G627" s="1"/>
      <c r="H627" s="1"/>
      <c r="I627" s="1"/>
      <c r="J627" s="1"/>
    </row>
    <row r="628" spans="2:10" ht="13">
      <c r="B628" s="1"/>
      <c r="C628" s="1"/>
      <c r="D628" s="1"/>
      <c r="E628" s="1"/>
      <c r="F628" s="1"/>
      <c r="G628" s="1"/>
      <c r="H628" s="1"/>
      <c r="I628" s="1"/>
      <c r="J628" s="1"/>
    </row>
    <row r="629" spans="2:10" ht="13">
      <c r="B629" s="1"/>
      <c r="C629" s="1"/>
      <c r="D629" s="1"/>
      <c r="E629" s="1"/>
      <c r="F629" s="1"/>
      <c r="G629" s="1"/>
      <c r="H629" s="1"/>
      <c r="I629" s="1"/>
      <c r="J629" s="1"/>
    </row>
    <row r="630" spans="2:10" ht="13">
      <c r="B630" s="1"/>
      <c r="C630" s="1"/>
      <c r="D630" s="1"/>
      <c r="E630" s="1"/>
      <c r="F630" s="1"/>
      <c r="G630" s="1"/>
      <c r="H630" s="1"/>
      <c r="I630" s="1"/>
      <c r="J630" s="1"/>
    </row>
    <row r="631" spans="2:10" ht="13">
      <c r="B631" s="1"/>
      <c r="C631" s="1"/>
      <c r="D631" s="1"/>
      <c r="E631" s="1"/>
      <c r="F631" s="1"/>
      <c r="G631" s="1"/>
      <c r="H631" s="1"/>
      <c r="I631" s="1"/>
      <c r="J631" s="1"/>
    </row>
    <row r="632" spans="2:10" ht="13">
      <c r="B632" s="1"/>
      <c r="C632" s="1"/>
      <c r="D632" s="1"/>
      <c r="E632" s="1"/>
      <c r="F632" s="1"/>
      <c r="G632" s="1"/>
      <c r="H632" s="1"/>
      <c r="I632" s="1"/>
      <c r="J632" s="1"/>
    </row>
    <row r="633" spans="2:10" ht="13">
      <c r="B633" s="1"/>
      <c r="C633" s="1"/>
      <c r="D633" s="1"/>
      <c r="E633" s="1"/>
      <c r="F633" s="1"/>
      <c r="G633" s="1"/>
      <c r="H633" s="1"/>
      <c r="I633" s="1"/>
      <c r="J633" s="1"/>
    </row>
    <row r="634" spans="2:10" ht="13">
      <c r="B634" s="1"/>
      <c r="C634" s="1"/>
      <c r="D634" s="1"/>
      <c r="E634" s="1"/>
      <c r="F634" s="1"/>
      <c r="G634" s="1"/>
      <c r="H634" s="1"/>
      <c r="I634" s="1"/>
      <c r="J634" s="1"/>
    </row>
    <row r="635" spans="2:10" ht="13">
      <c r="B635" s="1"/>
      <c r="C635" s="1"/>
      <c r="D635" s="1"/>
      <c r="E635" s="1"/>
      <c r="F635" s="1"/>
      <c r="G635" s="1"/>
      <c r="H635" s="1"/>
      <c r="I635" s="1"/>
      <c r="J635" s="1"/>
    </row>
    <row r="636" spans="2:10" ht="13">
      <c r="B636" s="1"/>
      <c r="C636" s="1"/>
      <c r="D636" s="1"/>
      <c r="E636" s="1"/>
      <c r="F636" s="1"/>
      <c r="G636" s="1"/>
      <c r="H636" s="1"/>
      <c r="I636" s="1"/>
      <c r="J636" s="1"/>
    </row>
    <row r="637" spans="2:10" ht="13">
      <c r="B637" s="1"/>
      <c r="C637" s="1"/>
      <c r="D637" s="1"/>
      <c r="E637" s="1"/>
      <c r="F637" s="1"/>
      <c r="G637" s="1"/>
      <c r="H637" s="1"/>
      <c r="I637" s="1"/>
      <c r="J637" s="1"/>
    </row>
    <row r="638" spans="2:10" ht="13">
      <c r="B638" s="1"/>
      <c r="C638" s="1"/>
      <c r="D638" s="1"/>
      <c r="E638" s="1"/>
      <c r="F638" s="1"/>
      <c r="G638" s="1"/>
      <c r="H638" s="1"/>
      <c r="I638" s="1"/>
      <c r="J638" s="1"/>
    </row>
    <row r="639" spans="2:10" ht="13">
      <c r="B639" s="1"/>
      <c r="C639" s="1"/>
      <c r="D639" s="1"/>
      <c r="E639" s="1"/>
      <c r="F639" s="1"/>
      <c r="G639" s="1"/>
      <c r="H639" s="1"/>
      <c r="I639" s="1"/>
      <c r="J639" s="1"/>
    </row>
    <row r="640" spans="2:10" ht="13">
      <c r="B640" s="1"/>
      <c r="C640" s="1"/>
      <c r="D640" s="1"/>
      <c r="E640" s="1"/>
      <c r="F640" s="1"/>
      <c r="G640" s="1"/>
      <c r="H640" s="1"/>
      <c r="I640" s="1"/>
      <c r="J640" s="1"/>
    </row>
    <row r="641" spans="2:10" ht="13">
      <c r="B641" s="1"/>
      <c r="C641" s="1"/>
      <c r="D641" s="1"/>
      <c r="E641" s="1"/>
      <c r="F641" s="1"/>
      <c r="G641" s="1"/>
      <c r="H641" s="1"/>
      <c r="I641" s="1"/>
      <c r="J641" s="1"/>
    </row>
    <row r="642" spans="2:10" ht="13">
      <c r="B642" s="1"/>
      <c r="C642" s="1"/>
      <c r="D642" s="1"/>
      <c r="E642" s="1"/>
      <c r="F642" s="1"/>
      <c r="G642" s="1"/>
      <c r="H642" s="1"/>
      <c r="I642" s="1"/>
      <c r="J642" s="1"/>
    </row>
    <row r="643" spans="2:10" ht="13">
      <c r="B643" s="1"/>
      <c r="C643" s="1"/>
      <c r="D643" s="1"/>
      <c r="E643" s="1"/>
      <c r="F643" s="1"/>
      <c r="G643" s="1"/>
      <c r="H643" s="1"/>
      <c r="I643" s="1"/>
      <c r="J643" s="1"/>
    </row>
    <row r="644" spans="2:10" ht="13">
      <c r="B644" s="1"/>
      <c r="C644" s="1"/>
      <c r="D644" s="1"/>
      <c r="E644" s="1"/>
      <c r="F644" s="1"/>
      <c r="G644" s="1"/>
      <c r="H644" s="1"/>
      <c r="I644" s="1"/>
      <c r="J644" s="1"/>
    </row>
    <row r="645" spans="2:10" ht="13">
      <c r="B645" s="1"/>
      <c r="C645" s="1"/>
      <c r="D645" s="1"/>
      <c r="E645" s="1"/>
      <c r="F645" s="1"/>
      <c r="G645" s="1"/>
      <c r="H645" s="1"/>
      <c r="I645" s="1"/>
      <c r="J645" s="1"/>
    </row>
    <row r="646" spans="2:10" ht="13">
      <c r="B646" s="1"/>
      <c r="C646" s="1"/>
      <c r="D646" s="1"/>
      <c r="E646" s="1"/>
      <c r="F646" s="1"/>
      <c r="G646" s="1"/>
      <c r="H646" s="1"/>
      <c r="I646" s="1"/>
      <c r="J646" s="1"/>
    </row>
    <row r="647" spans="2:10" ht="13">
      <c r="B647" s="1"/>
      <c r="C647" s="1"/>
      <c r="D647" s="1"/>
      <c r="E647" s="1"/>
      <c r="F647" s="1"/>
      <c r="G647" s="1"/>
      <c r="H647" s="1"/>
      <c r="I647" s="1"/>
      <c r="J647" s="1"/>
    </row>
    <row r="648" spans="2:10" ht="13">
      <c r="B648" s="1"/>
      <c r="C648" s="1"/>
      <c r="D648" s="1"/>
      <c r="E648" s="1"/>
      <c r="F648" s="1"/>
      <c r="G648" s="1"/>
      <c r="H648" s="1"/>
      <c r="I648" s="1"/>
      <c r="J648" s="1"/>
    </row>
    <row r="649" spans="2:10" ht="13">
      <c r="B649" s="1"/>
      <c r="C649" s="1"/>
      <c r="D649" s="1"/>
      <c r="E649" s="1"/>
      <c r="F649" s="1"/>
      <c r="G649" s="1"/>
      <c r="H649" s="1"/>
      <c r="I649" s="1"/>
      <c r="J649" s="1"/>
    </row>
    <row r="650" spans="2:10" ht="13">
      <c r="B650" s="1"/>
      <c r="C650" s="1"/>
      <c r="D650" s="1"/>
      <c r="E650" s="1"/>
      <c r="F650" s="1"/>
      <c r="G650" s="1"/>
      <c r="H650" s="1"/>
      <c r="I650" s="1"/>
      <c r="J650" s="1"/>
    </row>
    <row r="651" spans="2:10" ht="13">
      <c r="B651" s="1"/>
      <c r="C651" s="1"/>
      <c r="D651" s="1"/>
      <c r="E651" s="1"/>
      <c r="F651" s="1"/>
      <c r="G651" s="1"/>
      <c r="H651" s="1"/>
      <c r="I651" s="1"/>
      <c r="J651" s="1"/>
    </row>
    <row r="652" spans="2:10" ht="13">
      <c r="B652" s="1"/>
      <c r="C652" s="1"/>
      <c r="D652" s="1"/>
      <c r="E652" s="1"/>
      <c r="F652" s="1"/>
      <c r="G652" s="1"/>
      <c r="H652" s="1"/>
      <c r="I652" s="1"/>
      <c r="J652" s="1"/>
    </row>
    <row r="653" spans="2:10" ht="13">
      <c r="B653" s="1"/>
      <c r="C653" s="1"/>
      <c r="D653" s="1"/>
      <c r="E653" s="1"/>
      <c r="F653" s="1"/>
      <c r="G653" s="1"/>
      <c r="H653" s="1"/>
      <c r="I653" s="1"/>
      <c r="J653" s="1"/>
    </row>
    <row r="654" spans="2:10" ht="13">
      <c r="B654" s="1"/>
      <c r="C654" s="1"/>
      <c r="D654" s="1"/>
      <c r="E654" s="1"/>
      <c r="F654" s="1"/>
      <c r="G654" s="1"/>
      <c r="H654" s="1"/>
      <c r="I654" s="1"/>
      <c r="J654" s="1"/>
    </row>
    <row r="655" spans="2:10" ht="13">
      <c r="B655" s="1"/>
      <c r="C655" s="1"/>
      <c r="D655" s="1"/>
      <c r="E655" s="1"/>
      <c r="F655" s="1"/>
      <c r="G655" s="1"/>
      <c r="H655" s="1"/>
      <c r="I655" s="1"/>
      <c r="J655" s="1"/>
    </row>
    <row r="656" spans="2:10" ht="13">
      <c r="B656" s="1"/>
      <c r="C656" s="1"/>
      <c r="D656" s="1"/>
      <c r="E656" s="1"/>
      <c r="F656" s="1"/>
      <c r="G656" s="1"/>
      <c r="H656" s="1"/>
      <c r="I656" s="1"/>
      <c r="J656" s="1"/>
    </row>
    <row r="657" spans="2:10" ht="13">
      <c r="B657" s="1"/>
      <c r="C657" s="1"/>
      <c r="D657" s="1"/>
      <c r="E657" s="1"/>
      <c r="F657" s="1"/>
      <c r="G657" s="1"/>
      <c r="H657" s="1"/>
      <c r="I657" s="1"/>
      <c r="J657" s="1"/>
    </row>
    <row r="658" spans="2:10" ht="13">
      <c r="B658" s="1"/>
      <c r="C658" s="1"/>
      <c r="D658" s="1"/>
      <c r="E658" s="1"/>
      <c r="F658" s="1"/>
      <c r="G658" s="1"/>
      <c r="H658" s="1"/>
      <c r="I658" s="1"/>
      <c r="J658" s="1"/>
    </row>
    <row r="659" spans="2:10" ht="13">
      <c r="B659" s="1"/>
      <c r="C659" s="1"/>
      <c r="D659" s="1"/>
      <c r="E659" s="1"/>
      <c r="F659" s="1"/>
      <c r="G659" s="1"/>
      <c r="H659" s="1"/>
      <c r="I659" s="1"/>
      <c r="J659" s="1"/>
    </row>
    <row r="660" spans="2:10" ht="13">
      <c r="B660" s="1"/>
      <c r="C660" s="1"/>
      <c r="D660" s="1"/>
      <c r="E660" s="1"/>
      <c r="F660" s="1"/>
      <c r="G660" s="1"/>
      <c r="H660" s="1"/>
      <c r="I660" s="1"/>
      <c r="J660" s="1"/>
    </row>
    <row r="661" spans="2:10" ht="13">
      <c r="B661" s="1"/>
      <c r="C661" s="1"/>
      <c r="D661" s="1"/>
      <c r="E661" s="1"/>
      <c r="F661" s="1"/>
      <c r="G661" s="1"/>
      <c r="H661" s="1"/>
      <c r="I661" s="1"/>
      <c r="J661" s="1"/>
    </row>
    <row r="662" spans="2:10" ht="13">
      <c r="B662" s="1"/>
      <c r="C662" s="1"/>
      <c r="D662" s="1"/>
      <c r="E662" s="1"/>
      <c r="F662" s="1"/>
      <c r="G662" s="1"/>
      <c r="H662" s="1"/>
      <c r="I662" s="1"/>
      <c r="J662" s="1"/>
    </row>
    <row r="663" spans="2:10" ht="13">
      <c r="B663" s="1"/>
      <c r="C663" s="1"/>
      <c r="D663" s="1"/>
      <c r="E663" s="1"/>
      <c r="F663" s="1"/>
      <c r="G663" s="1"/>
      <c r="H663" s="1"/>
      <c r="I663" s="1"/>
      <c r="J663" s="1"/>
    </row>
    <row r="664" spans="2:10" ht="13">
      <c r="B664" s="1"/>
      <c r="C664" s="1"/>
      <c r="D664" s="1"/>
      <c r="E664" s="1"/>
      <c r="F664" s="1"/>
      <c r="G664" s="1"/>
      <c r="H664" s="1"/>
      <c r="I664" s="1"/>
      <c r="J664" s="1"/>
    </row>
    <row r="665" spans="2:10" ht="13">
      <c r="B665" s="1"/>
      <c r="C665" s="1"/>
      <c r="D665" s="1"/>
      <c r="E665" s="1"/>
      <c r="F665" s="1"/>
      <c r="G665" s="1"/>
      <c r="H665" s="1"/>
      <c r="I665" s="1"/>
      <c r="J665" s="1"/>
    </row>
    <row r="666" spans="2:10" ht="13">
      <c r="B666" s="1"/>
      <c r="C666" s="1"/>
      <c r="D666" s="1"/>
      <c r="E666" s="1"/>
      <c r="F666" s="1"/>
      <c r="G666" s="1"/>
      <c r="H666" s="1"/>
      <c r="I666" s="1"/>
      <c r="J666" s="1"/>
    </row>
    <row r="667" spans="2:10" ht="13">
      <c r="B667" s="1"/>
      <c r="C667" s="1"/>
      <c r="D667" s="1"/>
      <c r="E667" s="1"/>
      <c r="F667" s="1"/>
      <c r="G667" s="1"/>
      <c r="H667" s="1"/>
      <c r="I667" s="1"/>
      <c r="J667" s="1"/>
    </row>
    <row r="668" spans="2:10" ht="13">
      <c r="B668" s="1"/>
      <c r="C668" s="1"/>
      <c r="D668" s="1"/>
      <c r="E668" s="1"/>
      <c r="F668" s="1"/>
      <c r="G668" s="1"/>
      <c r="H668" s="1"/>
      <c r="I668" s="1"/>
      <c r="J668" s="1"/>
    </row>
    <row r="669" spans="2:10" ht="13">
      <c r="B669" s="1"/>
      <c r="C669" s="1"/>
      <c r="D669" s="1"/>
      <c r="E669" s="1"/>
      <c r="F669" s="1"/>
      <c r="G669" s="1"/>
      <c r="H669" s="1"/>
      <c r="I669" s="1"/>
      <c r="J669" s="1"/>
    </row>
    <row r="670" spans="2:10" ht="13">
      <c r="B670" s="1"/>
      <c r="C670" s="1"/>
      <c r="D670" s="1"/>
      <c r="E670" s="1"/>
      <c r="F670" s="1"/>
      <c r="G670" s="1"/>
      <c r="H670" s="1"/>
      <c r="I670" s="1"/>
      <c r="J670" s="1"/>
    </row>
    <row r="671" spans="2:10" ht="13">
      <c r="B671" s="1"/>
      <c r="C671" s="1"/>
      <c r="D671" s="1"/>
      <c r="E671" s="1"/>
      <c r="F671" s="1"/>
      <c r="G671" s="1"/>
      <c r="H671" s="1"/>
      <c r="I671" s="1"/>
      <c r="J671" s="1"/>
    </row>
    <row r="672" spans="2:10" ht="13">
      <c r="B672" s="1"/>
      <c r="C672" s="1"/>
      <c r="D672" s="1"/>
      <c r="E672" s="1"/>
      <c r="F672" s="1"/>
      <c r="G672" s="1"/>
      <c r="H672" s="1"/>
      <c r="I672" s="1"/>
      <c r="J672" s="1"/>
    </row>
    <row r="673" spans="2:10" ht="13">
      <c r="B673" s="1"/>
      <c r="C673" s="1"/>
      <c r="D673" s="1"/>
      <c r="E673" s="1"/>
      <c r="F673" s="1"/>
      <c r="G673" s="1"/>
      <c r="H673" s="1"/>
      <c r="I673" s="1"/>
      <c r="J673" s="1"/>
    </row>
    <row r="674" spans="2:10" ht="13">
      <c r="B674" s="1"/>
      <c r="C674" s="1"/>
      <c r="D674" s="1"/>
      <c r="E674" s="1"/>
      <c r="F674" s="1"/>
      <c r="G674" s="1"/>
      <c r="H674" s="1"/>
      <c r="I674" s="1"/>
      <c r="J674" s="1"/>
    </row>
    <row r="675" spans="2:10" ht="13">
      <c r="B675" s="1"/>
      <c r="C675" s="1"/>
      <c r="D675" s="1"/>
      <c r="E675" s="1"/>
      <c r="F675" s="1"/>
      <c r="G675" s="1"/>
      <c r="H675" s="1"/>
      <c r="I675" s="1"/>
      <c r="J675" s="1"/>
    </row>
    <row r="676" spans="2:10" ht="13">
      <c r="B676" s="1"/>
      <c r="C676" s="1"/>
      <c r="D676" s="1"/>
      <c r="E676" s="1"/>
      <c r="F676" s="1"/>
      <c r="G676" s="1"/>
      <c r="H676" s="1"/>
      <c r="I676" s="1"/>
      <c r="J676" s="1"/>
    </row>
    <row r="677" spans="2:10" ht="13">
      <c r="B677" s="1"/>
      <c r="C677" s="1"/>
      <c r="D677" s="1"/>
      <c r="E677" s="1"/>
      <c r="F677" s="1"/>
      <c r="G677" s="1"/>
      <c r="H677" s="1"/>
      <c r="I677" s="1"/>
      <c r="J677" s="1"/>
    </row>
    <row r="678" spans="2:10" ht="13">
      <c r="B678" s="1"/>
      <c r="C678" s="1"/>
      <c r="D678" s="1"/>
      <c r="E678" s="1"/>
      <c r="F678" s="1"/>
      <c r="G678" s="1"/>
      <c r="H678" s="1"/>
      <c r="I678" s="1"/>
      <c r="J678" s="1"/>
    </row>
    <row r="679" spans="2:10" ht="13">
      <c r="B679" s="1"/>
      <c r="C679" s="1"/>
      <c r="D679" s="1"/>
      <c r="E679" s="1"/>
      <c r="F679" s="1"/>
      <c r="G679" s="1"/>
      <c r="H679" s="1"/>
      <c r="I679" s="1"/>
      <c r="J679" s="1"/>
    </row>
    <row r="680" spans="2:10" ht="13">
      <c r="B680" s="1"/>
      <c r="C680" s="1"/>
      <c r="D680" s="1"/>
      <c r="E680" s="1"/>
      <c r="F680" s="1"/>
      <c r="G680" s="1"/>
      <c r="H680" s="1"/>
      <c r="I680" s="1"/>
      <c r="J680" s="1"/>
    </row>
    <row r="681" spans="2:10" ht="13">
      <c r="B681" s="1"/>
      <c r="C681" s="1"/>
      <c r="D681" s="1"/>
      <c r="E681" s="1"/>
      <c r="F681" s="1"/>
      <c r="G681" s="1"/>
      <c r="H681" s="1"/>
      <c r="I681" s="1"/>
      <c r="J681" s="1"/>
    </row>
    <row r="682" spans="2:10" ht="13">
      <c r="B682" s="1"/>
      <c r="C682" s="1"/>
      <c r="D682" s="1"/>
      <c r="E682" s="1"/>
      <c r="F682" s="1"/>
      <c r="G682" s="1"/>
      <c r="H682" s="1"/>
      <c r="I682" s="1"/>
      <c r="J682" s="1"/>
    </row>
    <row r="683" spans="2:10" ht="13">
      <c r="B683" s="1"/>
      <c r="C683" s="1"/>
      <c r="D683" s="1"/>
      <c r="E683" s="1"/>
      <c r="F683" s="1"/>
      <c r="G683" s="1"/>
      <c r="H683" s="1"/>
      <c r="I683" s="1"/>
      <c r="J683" s="1"/>
    </row>
    <row r="684" spans="2:10" ht="13">
      <c r="B684" s="1"/>
      <c r="C684" s="1"/>
      <c r="D684" s="1"/>
      <c r="E684" s="1"/>
      <c r="F684" s="1"/>
      <c r="G684" s="1"/>
      <c r="H684" s="1"/>
      <c r="I684" s="1"/>
      <c r="J684" s="1"/>
    </row>
    <row r="685" spans="2:10" ht="13">
      <c r="B685" s="1"/>
      <c r="C685" s="1"/>
      <c r="D685" s="1"/>
      <c r="E685" s="1"/>
      <c r="F685" s="1"/>
      <c r="G685" s="1"/>
      <c r="H685" s="1"/>
      <c r="I685" s="1"/>
      <c r="J685" s="1"/>
    </row>
    <row r="686" spans="2:10" ht="13">
      <c r="B686" s="1"/>
      <c r="C686" s="1"/>
      <c r="D686" s="1"/>
      <c r="E686" s="1"/>
      <c r="F686" s="1"/>
      <c r="G686" s="1"/>
      <c r="H686" s="1"/>
      <c r="I686" s="1"/>
      <c r="J686" s="1"/>
    </row>
    <row r="687" spans="2:10" ht="13">
      <c r="B687" s="1"/>
      <c r="C687" s="1"/>
      <c r="D687" s="1"/>
      <c r="E687" s="1"/>
      <c r="F687" s="1"/>
      <c r="G687" s="1"/>
      <c r="H687" s="1"/>
      <c r="I687" s="1"/>
      <c r="J687" s="1"/>
    </row>
    <row r="688" spans="2:10" ht="13">
      <c r="B688" s="1"/>
      <c r="C688" s="1"/>
      <c r="D688" s="1"/>
      <c r="E688" s="1"/>
      <c r="F688" s="1"/>
      <c r="G688" s="1"/>
      <c r="H688" s="1"/>
      <c r="I688" s="1"/>
      <c r="J688" s="1"/>
    </row>
    <row r="689" spans="2:10" ht="13">
      <c r="B689" s="1"/>
      <c r="C689" s="1"/>
      <c r="D689" s="1"/>
      <c r="E689" s="1"/>
      <c r="F689" s="1"/>
      <c r="G689" s="1"/>
      <c r="H689" s="1"/>
      <c r="I689" s="1"/>
      <c r="J689" s="1"/>
    </row>
    <row r="690" spans="2:10" ht="13">
      <c r="B690" s="1"/>
      <c r="C690" s="1"/>
      <c r="D690" s="1"/>
      <c r="E690" s="1"/>
      <c r="F690" s="1"/>
      <c r="G690" s="1"/>
      <c r="H690" s="1"/>
      <c r="I690" s="1"/>
      <c r="J690" s="1"/>
    </row>
    <row r="691" spans="2:10" ht="13">
      <c r="B691" s="1"/>
      <c r="C691" s="1"/>
      <c r="D691" s="1"/>
      <c r="E691" s="1"/>
      <c r="F691" s="1"/>
      <c r="G691" s="1"/>
      <c r="H691" s="1"/>
      <c r="I691" s="1"/>
      <c r="J691" s="1"/>
    </row>
    <row r="692" spans="2:10" ht="13">
      <c r="B692" s="1"/>
      <c r="C692" s="1"/>
      <c r="D692" s="1"/>
      <c r="E692" s="1"/>
      <c r="F692" s="1"/>
      <c r="G692" s="1"/>
      <c r="H692" s="1"/>
      <c r="I692" s="1"/>
      <c r="J692" s="1"/>
    </row>
    <row r="693" spans="2:10" ht="13">
      <c r="B693" s="1"/>
      <c r="C693" s="1"/>
      <c r="D693" s="1"/>
      <c r="E693" s="1"/>
      <c r="F693" s="1"/>
      <c r="G693" s="1"/>
      <c r="H693" s="1"/>
      <c r="I693" s="1"/>
      <c r="J693" s="1"/>
    </row>
    <row r="694" spans="2:10" ht="13">
      <c r="B694" s="1"/>
      <c r="C694" s="1"/>
      <c r="D694" s="1"/>
      <c r="E694" s="1"/>
      <c r="F694" s="1"/>
      <c r="G694" s="1"/>
      <c r="H694" s="1"/>
      <c r="I694" s="1"/>
      <c r="J694" s="1"/>
    </row>
    <row r="695" spans="2:10" ht="13">
      <c r="B695" s="1"/>
      <c r="C695" s="1"/>
      <c r="D695" s="1"/>
      <c r="E695" s="1"/>
      <c r="F695" s="1"/>
      <c r="G695" s="1"/>
      <c r="H695" s="1"/>
      <c r="I695" s="1"/>
      <c r="J695" s="1"/>
    </row>
    <row r="696" spans="2:10" ht="13">
      <c r="B696" s="1"/>
      <c r="C696" s="1"/>
      <c r="D696" s="1"/>
      <c r="E696" s="1"/>
      <c r="F696" s="1"/>
      <c r="G696" s="1"/>
      <c r="H696" s="1"/>
      <c r="I696" s="1"/>
      <c r="J696" s="1"/>
    </row>
    <row r="697" spans="2:10" ht="13">
      <c r="B697" s="1"/>
      <c r="C697" s="1"/>
      <c r="D697" s="1"/>
      <c r="E697" s="1"/>
      <c r="F697" s="1"/>
      <c r="G697" s="1"/>
      <c r="H697" s="1"/>
      <c r="I697" s="1"/>
      <c r="J697" s="1"/>
    </row>
    <row r="698" spans="2:10" ht="13">
      <c r="B698" s="1"/>
      <c r="C698" s="1"/>
      <c r="D698" s="1"/>
      <c r="E698" s="1"/>
      <c r="F698" s="1"/>
      <c r="G698" s="1"/>
      <c r="H698" s="1"/>
      <c r="I698" s="1"/>
      <c r="J698" s="1"/>
    </row>
    <row r="699" spans="2:10" ht="13">
      <c r="B699" s="1"/>
      <c r="C699" s="1"/>
      <c r="D699" s="1"/>
      <c r="E699" s="1"/>
      <c r="F699" s="1"/>
      <c r="G699" s="1"/>
      <c r="H699" s="1"/>
      <c r="I699" s="1"/>
      <c r="J699" s="1"/>
    </row>
    <row r="700" spans="2:10" ht="13">
      <c r="B700" s="1"/>
      <c r="C700" s="1"/>
      <c r="D700" s="1"/>
      <c r="E700" s="1"/>
      <c r="F700" s="1"/>
      <c r="G700" s="1"/>
      <c r="H700" s="1"/>
      <c r="I700" s="1"/>
      <c r="J700" s="1"/>
    </row>
    <row r="701" spans="2:10" ht="13">
      <c r="B701" s="1"/>
      <c r="C701" s="1"/>
      <c r="D701" s="1"/>
      <c r="E701" s="1"/>
      <c r="F701" s="1"/>
      <c r="G701" s="1"/>
      <c r="H701" s="1"/>
      <c r="I701" s="1"/>
      <c r="J701" s="1"/>
    </row>
    <row r="702" spans="2:10" ht="13">
      <c r="B702" s="1"/>
      <c r="C702" s="1"/>
      <c r="D702" s="1"/>
      <c r="E702" s="1"/>
      <c r="F702" s="1"/>
      <c r="G702" s="1"/>
      <c r="H702" s="1"/>
      <c r="I702" s="1"/>
      <c r="J702" s="1"/>
    </row>
    <row r="703" spans="2:10" ht="13">
      <c r="B703" s="1"/>
      <c r="C703" s="1"/>
      <c r="D703" s="1"/>
      <c r="E703" s="1"/>
      <c r="F703" s="1"/>
      <c r="G703" s="1"/>
      <c r="H703" s="1"/>
      <c r="I703" s="1"/>
      <c r="J703" s="1"/>
    </row>
    <row r="704" spans="2:10" ht="13">
      <c r="B704" s="1"/>
      <c r="C704" s="1"/>
      <c r="D704" s="1"/>
      <c r="E704" s="1"/>
      <c r="F704" s="1"/>
      <c r="G704" s="1"/>
      <c r="H704" s="1"/>
      <c r="I704" s="1"/>
      <c r="J704" s="1"/>
    </row>
    <row r="705" spans="2:10" ht="13">
      <c r="B705" s="1"/>
      <c r="C705" s="1"/>
      <c r="D705" s="1"/>
      <c r="E705" s="1"/>
      <c r="F705" s="1"/>
      <c r="G705" s="1"/>
      <c r="H705" s="1"/>
      <c r="I705" s="1"/>
      <c r="J705" s="1"/>
    </row>
    <row r="706" spans="2:10" ht="13">
      <c r="B706" s="1"/>
      <c r="C706" s="1"/>
      <c r="D706" s="1"/>
      <c r="E706" s="1"/>
      <c r="F706" s="1"/>
      <c r="G706" s="1"/>
      <c r="H706" s="1"/>
      <c r="I706" s="1"/>
      <c r="J706" s="1"/>
    </row>
    <row r="707" spans="2:10" ht="13">
      <c r="B707" s="1"/>
      <c r="C707" s="1"/>
      <c r="D707" s="1"/>
      <c r="E707" s="1"/>
      <c r="F707" s="1"/>
      <c r="G707" s="1"/>
      <c r="H707" s="1"/>
      <c r="I707" s="1"/>
      <c r="J707" s="1"/>
    </row>
    <row r="708" spans="2:10" ht="13">
      <c r="B708" s="1"/>
      <c r="C708" s="1"/>
      <c r="D708" s="1"/>
      <c r="E708" s="1"/>
      <c r="F708" s="1"/>
      <c r="G708" s="1"/>
      <c r="H708" s="1"/>
      <c r="I708" s="1"/>
      <c r="J708" s="1"/>
    </row>
    <row r="709" spans="2:10" ht="13">
      <c r="B709" s="1"/>
      <c r="C709" s="1"/>
      <c r="D709" s="1"/>
      <c r="E709" s="1"/>
      <c r="F709" s="1"/>
      <c r="G709" s="1"/>
      <c r="H709" s="1"/>
      <c r="I709" s="1"/>
      <c r="J709" s="1"/>
    </row>
    <row r="710" spans="2:10" ht="13">
      <c r="B710" s="1"/>
      <c r="C710" s="1"/>
      <c r="D710" s="1"/>
      <c r="E710" s="1"/>
      <c r="F710" s="1"/>
      <c r="G710" s="1"/>
      <c r="H710" s="1"/>
      <c r="I710" s="1"/>
      <c r="J710" s="1"/>
    </row>
    <row r="711" spans="2:10" ht="13">
      <c r="B711" s="1"/>
      <c r="C711" s="1"/>
      <c r="D711" s="1"/>
      <c r="E711" s="1"/>
      <c r="F711" s="1"/>
      <c r="G711" s="1"/>
      <c r="H711" s="1"/>
      <c r="I711" s="1"/>
      <c r="J711" s="1"/>
    </row>
    <row r="712" spans="2:10" ht="13">
      <c r="B712" s="1"/>
      <c r="C712" s="1"/>
      <c r="D712" s="1"/>
      <c r="E712" s="1"/>
      <c r="F712" s="1"/>
      <c r="G712" s="1"/>
      <c r="H712" s="1"/>
      <c r="I712" s="1"/>
      <c r="J712" s="1"/>
    </row>
    <row r="713" spans="2:10" ht="13">
      <c r="B713" s="1"/>
      <c r="C713" s="1"/>
      <c r="D713" s="1"/>
      <c r="E713" s="1"/>
      <c r="F713" s="1"/>
      <c r="G713" s="1"/>
      <c r="H713" s="1"/>
      <c r="I713" s="1"/>
      <c r="J713" s="1"/>
    </row>
    <row r="714" spans="2:10" ht="13">
      <c r="B714" s="1"/>
      <c r="C714" s="1"/>
      <c r="D714" s="1"/>
      <c r="E714" s="1"/>
      <c r="F714" s="1"/>
      <c r="G714" s="1"/>
      <c r="H714" s="1"/>
      <c r="I714" s="1"/>
      <c r="J714" s="1"/>
    </row>
    <row r="715" spans="2:10" ht="13">
      <c r="B715" s="1"/>
      <c r="C715" s="1"/>
      <c r="D715" s="1"/>
      <c r="E715" s="1"/>
      <c r="F715" s="1"/>
      <c r="G715" s="1"/>
      <c r="H715" s="1"/>
      <c r="I715" s="1"/>
      <c r="J715" s="1"/>
    </row>
    <row r="716" spans="2:10" ht="13">
      <c r="B716" s="1"/>
      <c r="C716" s="1"/>
      <c r="D716" s="1"/>
      <c r="E716" s="1"/>
      <c r="F716" s="1"/>
      <c r="G716" s="1"/>
      <c r="H716" s="1"/>
      <c r="I716" s="1"/>
      <c r="J716" s="1"/>
    </row>
    <row r="717" spans="2:10" ht="13">
      <c r="B717" s="1"/>
      <c r="C717" s="1"/>
      <c r="D717" s="1"/>
      <c r="E717" s="1"/>
      <c r="F717" s="1"/>
      <c r="G717" s="1"/>
      <c r="H717" s="1"/>
      <c r="I717" s="1"/>
      <c r="J717" s="1"/>
    </row>
    <row r="718" spans="2:10" ht="13">
      <c r="B718" s="1"/>
      <c r="C718" s="1"/>
      <c r="D718" s="1"/>
      <c r="E718" s="1"/>
      <c r="F718" s="1"/>
      <c r="G718" s="1"/>
      <c r="H718" s="1"/>
      <c r="I718" s="1"/>
      <c r="J718" s="1"/>
    </row>
    <row r="719" spans="2:10" ht="13">
      <c r="B719" s="1"/>
      <c r="C719" s="1"/>
      <c r="D719" s="1"/>
      <c r="E719" s="1"/>
      <c r="F719" s="1"/>
      <c r="G719" s="1"/>
      <c r="H719" s="1"/>
      <c r="I719" s="1"/>
      <c r="J719" s="1"/>
    </row>
    <row r="720" spans="2:10" ht="13">
      <c r="B720" s="1"/>
      <c r="C720" s="1"/>
      <c r="D720" s="1"/>
      <c r="E720" s="1"/>
      <c r="F720" s="1"/>
      <c r="G720" s="1"/>
      <c r="H720" s="1"/>
      <c r="I720" s="1"/>
      <c r="J720" s="1"/>
    </row>
    <row r="721" spans="2:10" ht="13">
      <c r="B721" s="1"/>
      <c r="C721" s="1"/>
      <c r="D721" s="1"/>
      <c r="E721" s="1"/>
      <c r="F721" s="1"/>
      <c r="G721" s="1"/>
      <c r="H721" s="1"/>
      <c r="I721" s="1"/>
      <c r="J721" s="1"/>
    </row>
    <row r="722" spans="2:10" ht="13">
      <c r="B722" s="1"/>
      <c r="C722" s="1"/>
      <c r="D722" s="1"/>
      <c r="E722" s="1"/>
      <c r="F722" s="1"/>
      <c r="G722" s="1"/>
      <c r="H722" s="1"/>
      <c r="I722" s="1"/>
      <c r="J722" s="1"/>
    </row>
    <row r="723" spans="2:10" ht="13">
      <c r="B723" s="1"/>
      <c r="C723" s="1"/>
      <c r="D723" s="1"/>
      <c r="E723" s="1"/>
      <c r="F723" s="1"/>
      <c r="G723" s="1"/>
      <c r="H723" s="1"/>
      <c r="I723" s="1"/>
      <c r="J723" s="1"/>
    </row>
    <row r="724" spans="2:10" ht="13">
      <c r="B724" s="1"/>
      <c r="C724" s="1"/>
      <c r="D724" s="1"/>
      <c r="E724" s="1"/>
      <c r="F724" s="1"/>
      <c r="G724" s="1"/>
      <c r="H724" s="1"/>
      <c r="I724" s="1"/>
      <c r="J724" s="1"/>
    </row>
    <row r="725" spans="2:10" ht="13">
      <c r="B725" s="1"/>
      <c r="C725" s="1"/>
      <c r="D725" s="1"/>
      <c r="E725" s="1"/>
      <c r="F725" s="1"/>
      <c r="G725" s="1"/>
      <c r="H725" s="1"/>
      <c r="I725" s="1"/>
      <c r="J725" s="1"/>
    </row>
    <row r="726" spans="2:10" ht="13">
      <c r="B726" s="1"/>
      <c r="C726" s="1"/>
      <c r="D726" s="1"/>
      <c r="E726" s="1"/>
      <c r="F726" s="1"/>
      <c r="G726" s="1"/>
      <c r="H726" s="1"/>
      <c r="I726" s="1"/>
      <c r="J726" s="1"/>
    </row>
    <row r="727" spans="2:10" ht="13">
      <c r="B727" s="1"/>
      <c r="C727" s="1"/>
      <c r="D727" s="1"/>
      <c r="E727" s="1"/>
      <c r="F727" s="1"/>
      <c r="G727" s="1"/>
      <c r="H727" s="1"/>
      <c r="I727" s="1"/>
      <c r="J727" s="1"/>
    </row>
    <row r="728" spans="2:10" ht="13">
      <c r="B728" s="1"/>
      <c r="C728" s="1"/>
      <c r="D728" s="1"/>
      <c r="E728" s="1"/>
      <c r="F728" s="1"/>
      <c r="G728" s="1"/>
      <c r="H728" s="1"/>
      <c r="I728" s="1"/>
      <c r="J728" s="1"/>
    </row>
    <row r="729" spans="2:10" ht="13">
      <c r="B729" s="1"/>
      <c r="C729" s="1"/>
      <c r="D729" s="1"/>
      <c r="E729" s="1"/>
      <c r="F729" s="1"/>
      <c r="G729" s="1"/>
      <c r="H729" s="1"/>
      <c r="I729" s="1"/>
      <c r="J729" s="1"/>
    </row>
    <row r="730" spans="2:10" ht="13">
      <c r="B730" s="1"/>
      <c r="C730" s="1"/>
      <c r="D730" s="1"/>
      <c r="E730" s="1"/>
      <c r="F730" s="1"/>
      <c r="G730" s="1"/>
      <c r="H730" s="1"/>
      <c r="I730" s="1"/>
      <c r="J730" s="1"/>
    </row>
    <row r="731" spans="2:10" ht="13">
      <c r="B731" s="1"/>
      <c r="C731" s="1"/>
      <c r="D731" s="1"/>
      <c r="E731" s="1"/>
      <c r="F731" s="1"/>
      <c r="G731" s="1"/>
      <c r="H731" s="1"/>
      <c r="I731" s="1"/>
      <c r="J731" s="1"/>
    </row>
    <row r="732" spans="2:10" ht="13">
      <c r="B732" s="1"/>
      <c r="C732" s="1"/>
      <c r="D732" s="1"/>
      <c r="E732" s="1"/>
      <c r="F732" s="1"/>
      <c r="G732" s="1"/>
      <c r="H732" s="1"/>
      <c r="I732" s="1"/>
      <c r="J732" s="1"/>
    </row>
    <row r="733" spans="2:10" ht="13">
      <c r="B733" s="1"/>
      <c r="C733" s="1"/>
      <c r="D733" s="1"/>
      <c r="E733" s="1"/>
      <c r="F733" s="1"/>
      <c r="G733" s="1"/>
      <c r="H733" s="1"/>
      <c r="I733" s="1"/>
      <c r="J733" s="1"/>
    </row>
    <row r="734" spans="2:10" ht="13">
      <c r="B734" s="1"/>
      <c r="C734" s="1"/>
      <c r="D734" s="1"/>
      <c r="E734" s="1"/>
      <c r="F734" s="1"/>
      <c r="G734" s="1"/>
      <c r="H734" s="1"/>
      <c r="I734" s="1"/>
      <c r="J734" s="1"/>
    </row>
    <row r="735" spans="2:10" ht="13">
      <c r="B735" s="1"/>
      <c r="C735" s="1"/>
      <c r="D735" s="1"/>
      <c r="E735" s="1"/>
      <c r="F735" s="1"/>
      <c r="G735" s="1"/>
      <c r="H735" s="1"/>
      <c r="I735" s="1"/>
      <c r="J735" s="1"/>
    </row>
    <row r="736" spans="2:10" ht="13">
      <c r="B736" s="1"/>
      <c r="C736" s="1"/>
      <c r="D736" s="1"/>
      <c r="E736" s="1"/>
      <c r="F736" s="1"/>
      <c r="G736" s="1"/>
      <c r="H736" s="1"/>
      <c r="I736" s="1"/>
      <c r="J736" s="1"/>
    </row>
    <row r="737" spans="2:10" ht="13">
      <c r="B737" s="1"/>
      <c r="C737" s="1"/>
      <c r="D737" s="1"/>
      <c r="E737" s="1"/>
      <c r="F737" s="1"/>
      <c r="G737" s="1"/>
      <c r="H737" s="1"/>
      <c r="I737" s="1"/>
      <c r="J737" s="1"/>
    </row>
    <row r="738" spans="2:10" ht="13">
      <c r="B738" s="1"/>
      <c r="C738" s="1"/>
      <c r="D738" s="1"/>
      <c r="E738" s="1"/>
      <c r="F738" s="1"/>
      <c r="G738" s="1"/>
      <c r="H738" s="1"/>
      <c r="I738" s="1"/>
      <c r="J738" s="1"/>
    </row>
    <row r="739" spans="2:10" ht="13">
      <c r="B739" s="1"/>
      <c r="C739" s="1"/>
      <c r="D739" s="1"/>
      <c r="E739" s="1"/>
      <c r="F739" s="1"/>
      <c r="G739" s="1"/>
      <c r="H739" s="1"/>
      <c r="I739" s="1"/>
      <c r="J739" s="1"/>
    </row>
    <row r="740" spans="2:10" ht="13">
      <c r="B740" s="1"/>
      <c r="C740" s="1"/>
      <c r="D740" s="1"/>
      <c r="E740" s="1"/>
      <c r="F740" s="1"/>
      <c r="G740" s="1"/>
      <c r="H740" s="1"/>
      <c r="I740" s="1"/>
      <c r="J740" s="1"/>
    </row>
    <row r="741" spans="2:10" ht="13">
      <c r="B741" s="1"/>
      <c r="C741" s="1"/>
      <c r="D741" s="1"/>
      <c r="E741" s="1"/>
      <c r="F741" s="1"/>
      <c r="G741" s="1"/>
      <c r="H741" s="1"/>
      <c r="I741" s="1"/>
      <c r="J741" s="1"/>
    </row>
    <row r="742" spans="2:10" ht="13">
      <c r="B742" s="1"/>
      <c r="C742" s="1"/>
      <c r="D742" s="1"/>
      <c r="E742" s="1"/>
      <c r="F742" s="1"/>
      <c r="G742" s="1"/>
      <c r="H742" s="1"/>
      <c r="I742" s="1"/>
      <c r="J742" s="1"/>
    </row>
    <row r="743" spans="2:10" ht="13">
      <c r="B743" s="1"/>
      <c r="C743" s="1"/>
      <c r="D743" s="1"/>
      <c r="E743" s="1"/>
      <c r="F743" s="1"/>
      <c r="G743" s="1"/>
      <c r="H743" s="1"/>
      <c r="I743" s="1"/>
      <c r="J743" s="1"/>
    </row>
    <row r="744" spans="2:10" ht="13">
      <c r="B744" s="1"/>
      <c r="C744" s="1"/>
      <c r="D744" s="1"/>
      <c r="E744" s="1"/>
      <c r="F744" s="1"/>
      <c r="G744" s="1"/>
      <c r="H744" s="1"/>
      <c r="I744" s="1"/>
      <c r="J744" s="1"/>
    </row>
    <row r="745" spans="2:10" ht="13">
      <c r="B745" s="1"/>
      <c r="C745" s="1"/>
      <c r="D745" s="1"/>
      <c r="E745" s="1"/>
      <c r="F745" s="1"/>
      <c r="G745" s="1"/>
      <c r="H745" s="1"/>
      <c r="I745" s="1"/>
      <c r="J745" s="1"/>
    </row>
    <row r="746" spans="2:10" ht="13">
      <c r="B746" s="1"/>
      <c r="C746" s="1"/>
      <c r="D746" s="1"/>
      <c r="E746" s="1"/>
      <c r="F746" s="1"/>
      <c r="G746" s="1"/>
      <c r="H746" s="1"/>
      <c r="I746" s="1"/>
      <c r="J746" s="1"/>
    </row>
    <row r="747" spans="2:10" ht="13">
      <c r="B747" s="1"/>
      <c r="C747" s="1"/>
      <c r="D747" s="1"/>
      <c r="E747" s="1"/>
      <c r="F747" s="1"/>
      <c r="G747" s="1"/>
      <c r="H747" s="1"/>
      <c r="I747" s="1"/>
      <c r="J747" s="1"/>
    </row>
    <row r="748" spans="2:10" ht="13">
      <c r="B748" s="1"/>
      <c r="C748" s="1"/>
      <c r="D748" s="1"/>
      <c r="E748" s="1"/>
      <c r="F748" s="1"/>
      <c r="G748" s="1"/>
      <c r="H748" s="1"/>
      <c r="I748" s="1"/>
      <c r="J748" s="1"/>
    </row>
    <row r="749" spans="2:10" ht="13">
      <c r="B749" s="1"/>
      <c r="C749" s="1"/>
      <c r="D749" s="1"/>
      <c r="E749" s="1"/>
      <c r="F749" s="1"/>
      <c r="G749" s="1"/>
      <c r="H749" s="1"/>
      <c r="I749" s="1"/>
      <c r="J749" s="1"/>
    </row>
    <row r="750" spans="2:10" ht="13">
      <c r="B750" s="1"/>
      <c r="C750" s="1"/>
      <c r="D750" s="1"/>
      <c r="E750" s="1"/>
      <c r="F750" s="1"/>
      <c r="G750" s="1"/>
      <c r="H750" s="1"/>
      <c r="I750" s="1"/>
      <c r="J750" s="1"/>
    </row>
    <row r="751" spans="2:10" ht="13">
      <c r="B751" s="1"/>
      <c r="C751" s="1"/>
      <c r="D751" s="1"/>
      <c r="E751" s="1"/>
      <c r="F751" s="1"/>
      <c r="G751" s="1"/>
      <c r="H751" s="1"/>
      <c r="I751" s="1"/>
      <c r="J751" s="1"/>
    </row>
    <row r="752" spans="2:10" ht="13">
      <c r="B752" s="1"/>
      <c r="C752" s="1"/>
      <c r="D752" s="1"/>
      <c r="E752" s="1"/>
      <c r="F752" s="1"/>
      <c r="G752" s="1"/>
      <c r="H752" s="1"/>
      <c r="I752" s="1"/>
      <c r="J752" s="1"/>
    </row>
    <row r="753" spans="2:10" ht="13">
      <c r="B753" s="1"/>
      <c r="C753" s="1"/>
      <c r="D753" s="1"/>
      <c r="E753" s="1"/>
      <c r="F753" s="1"/>
      <c r="G753" s="1"/>
      <c r="H753" s="1"/>
      <c r="I753" s="1"/>
      <c r="J753" s="1"/>
    </row>
    <row r="754" spans="2:10" ht="13">
      <c r="B754" s="1"/>
      <c r="C754" s="1"/>
      <c r="D754" s="1"/>
      <c r="E754" s="1"/>
      <c r="F754" s="1"/>
      <c r="G754" s="1"/>
      <c r="H754" s="1"/>
      <c r="I754" s="1"/>
      <c r="J754" s="1"/>
    </row>
    <row r="755" spans="2:10" ht="13">
      <c r="B755" s="1"/>
      <c r="C755" s="1"/>
      <c r="D755" s="1"/>
      <c r="E755" s="1"/>
      <c r="F755" s="1"/>
      <c r="G755" s="1"/>
      <c r="H755" s="1"/>
      <c r="I755" s="1"/>
      <c r="J755" s="1"/>
    </row>
    <row r="756" spans="2:10" ht="13">
      <c r="B756" s="1"/>
      <c r="C756" s="1"/>
      <c r="D756" s="1"/>
      <c r="E756" s="1"/>
      <c r="F756" s="1"/>
      <c r="G756" s="1"/>
      <c r="H756" s="1"/>
      <c r="I756" s="1"/>
      <c r="J756" s="1"/>
    </row>
    <row r="757" spans="2:10" ht="13">
      <c r="B757" s="1"/>
      <c r="C757" s="1"/>
      <c r="D757" s="1"/>
      <c r="E757" s="1"/>
      <c r="F757" s="1"/>
      <c r="G757" s="1"/>
      <c r="H757" s="1"/>
      <c r="I757" s="1"/>
      <c r="J757" s="1"/>
    </row>
    <row r="758" spans="2:10" ht="13">
      <c r="B758" s="1"/>
      <c r="C758" s="1"/>
      <c r="D758" s="1"/>
      <c r="E758" s="1"/>
      <c r="F758" s="1"/>
      <c r="G758" s="1"/>
      <c r="H758" s="1"/>
      <c r="I758" s="1"/>
      <c r="J758" s="1"/>
    </row>
    <row r="759" spans="2:10" ht="13">
      <c r="B759" s="1"/>
      <c r="C759" s="1"/>
      <c r="D759" s="1"/>
      <c r="E759" s="1"/>
      <c r="F759" s="1"/>
      <c r="G759" s="1"/>
      <c r="H759" s="1"/>
      <c r="I759" s="1"/>
      <c r="J759" s="1"/>
    </row>
    <row r="760" spans="2:10" ht="13">
      <c r="B760" s="1"/>
      <c r="C760" s="1"/>
      <c r="D760" s="1"/>
      <c r="E760" s="1"/>
      <c r="F760" s="1"/>
      <c r="G760" s="1"/>
      <c r="H760" s="1"/>
      <c r="I760" s="1"/>
      <c r="J760" s="1"/>
    </row>
    <row r="761" spans="2:10" ht="13">
      <c r="B761" s="1"/>
      <c r="C761" s="1"/>
      <c r="D761" s="1"/>
      <c r="E761" s="1"/>
      <c r="F761" s="1"/>
      <c r="G761" s="1"/>
      <c r="H761" s="1"/>
      <c r="I761" s="1"/>
      <c r="J761" s="1"/>
    </row>
    <row r="762" spans="2:10" ht="13">
      <c r="B762" s="1"/>
      <c r="C762" s="1"/>
      <c r="D762" s="1"/>
      <c r="E762" s="1"/>
      <c r="F762" s="1"/>
      <c r="G762" s="1"/>
      <c r="H762" s="1"/>
      <c r="I762" s="1"/>
      <c r="J762" s="1"/>
    </row>
    <row r="763" spans="2:10" ht="13">
      <c r="B763" s="1"/>
      <c r="C763" s="1"/>
      <c r="D763" s="1"/>
      <c r="E763" s="1"/>
      <c r="F763" s="1"/>
      <c r="G763" s="1"/>
      <c r="H763" s="1"/>
      <c r="I763" s="1"/>
      <c r="J763" s="1"/>
    </row>
    <row r="764" spans="2:10" ht="13">
      <c r="B764" s="1"/>
      <c r="C764" s="1"/>
      <c r="D764" s="1"/>
      <c r="E764" s="1"/>
      <c r="F764" s="1"/>
      <c r="G764" s="1"/>
      <c r="H764" s="1"/>
      <c r="I764" s="1"/>
      <c r="J764" s="1"/>
    </row>
    <row r="765" spans="2:10" ht="13">
      <c r="B765" s="1"/>
      <c r="C765" s="1"/>
      <c r="D765" s="1"/>
      <c r="E765" s="1"/>
      <c r="F765" s="1"/>
      <c r="G765" s="1"/>
      <c r="H765" s="1"/>
      <c r="I765" s="1"/>
      <c r="J765" s="1"/>
    </row>
    <row r="766" spans="2:10" ht="13">
      <c r="B766" s="1"/>
      <c r="C766" s="1"/>
      <c r="D766" s="1"/>
      <c r="E766" s="1"/>
      <c r="F766" s="1"/>
      <c r="G766" s="1"/>
      <c r="H766" s="1"/>
      <c r="I766" s="1"/>
      <c r="J766" s="1"/>
    </row>
    <row r="767" spans="2:10" ht="13">
      <c r="B767" s="1"/>
      <c r="C767" s="1"/>
      <c r="D767" s="1"/>
      <c r="E767" s="1"/>
      <c r="F767" s="1"/>
      <c r="G767" s="1"/>
      <c r="H767" s="1"/>
      <c r="I767" s="1"/>
      <c r="J767" s="1"/>
    </row>
    <row r="768" spans="2:10" ht="13">
      <c r="B768" s="1"/>
      <c r="C768" s="1"/>
      <c r="D768" s="1"/>
      <c r="E768" s="1"/>
      <c r="F768" s="1"/>
      <c r="G768" s="1"/>
      <c r="H768" s="1"/>
      <c r="I768" s="1"/>
      <c r="J768" s="1"/>
    </row>
    <row r="769" spans="2:10" ht="13">
      <c r="B769" s="1"/>
      <c r="C769" s="1"/>
      <c r="D769" s="1"/>
      <c r="E769" s="1"/>
      <c r="F769" s="1"/>
      <c r="G769" s="1"/>
      <c r="H769" s="1"/>
      <c r="I769" s="1"/>
      <c r="J769" s="1"/>
    </row>
    <row r="770" spans="2:10" ht="13">
      <c r="B770" s="1"/>
      <c r="C770" s="1"/>
      <c r="D770" s="1"/>
      <c r="E770" s="1"/>
      <c r="F770" s="1"/>
      <c r="G770" s="1"/>
      <c r="H770" s="1"/>
      <c r="I770" s="1"/>
      <c r="J770" s="1"/>
    </row>
    <row r="771" spans="2:10" ht="13">
      <c r="B771" s="1"/>
      <c r="C771" s="1"/>
      <c r="D771" s="1"/>
      <c r="E771" s="1"/>
      <c r="F771" s="1"/>
      <c r="G771" s="1"/>
      <c r="H771" s="1"/>
      <c r="I771" s="1"/>
      <c r="J771" s="1"/>
    </row>
    <row r="772" spans="2:10" ht="13">
      <c r="B772" s="1"/>
      <c r="C772" s="1"/>
      <c r="D772" s="1"/>
      <c r="E772" s="1"/>
      <c r="F772" s="1"/>
      <c r="G772" s="1"/>
      <c r="H772" s="1"/>
      <c r="I772" s="1"/>
      <c r="J772" s="1"/>
    </row>
    <row r="773" spans="2:10" ht="13">
      <c r="B773" s="1"/>
      <c r="C773" s="1"/>
      <c r="D773" s="1"/>
      <c r="E773" s="1"/>
      <c r="F773" s="1"/>
      <c r="G773" s="1"/>
      <c r="H773" s="1"/>
      <c r="I773" s="1"/>
      <c r="J773" s="1"/>
    </row>
    <row r="774" spans="2:10" ht="13">
      <c r="B774" s="1"/>
      <c r="C774" s="1"/>
      <c r="D774" s="1"/>
      <c r="E774" s="1"/>
      <c r="F774" s="1"/>
      <c r="G774" s="1"/>
      <c r="H774" s="1"/>
      <c r="I774" s="1"/>
      <c r="J774" s="1"/>
    </row>
    <row r="775" spans="2:10" ht="13">
      <c r="B775" s="1"/>
      <c r="C775" s="1"/>
      <c r="D775" s="1"/>
      <c r="E775" s="1"/>
      <c r="F775" s="1"/>
      <c r="G775" s="1"/>
      <c r="H775" s="1"/>
      <c r="I775" s="1"/>
      <c r="J775" s="1"/>
    </row>
    <row r="776" spans="2:10" ht="13">
      <c r="B776" s="1"/>
      <c r="C776" s="1"/>
      <c r="D776" s="1"/>
      <c r="E776" s="1"/>
      <c r="F776" s="1"/>
      <c r="G776" s="1"/>
      <c r="H776" s="1"/>
      <c r="I776" s="1"/>
      <c r="J776" s="1"/>
    </row>
    <row r="777" spans="2:10" ht="13">
      <c r="B777" s="1"/>
      <c r="C777" s="1"/>
      <c r="D777" s="1"/>
      <c r="E777" s="1"/>
      <c r="F777" s="1"/>
      <c r="G777" s="1"/>
      <c r="H777" s="1"/>
      <c r="I777" s="1"/>
      <c r="J777" s="1"/>
    </row>
    <row r="778" spans="2:10" ht="13">
      <c r="B778" s="1"/>
      <c r="C778" s="1"/>
      <c r="D778" s="1"/>
      <c r="E778" s="1"/>
      <c r="F778" s="1"/>
      <c r="G778" s="1"/>
      <c r="H778" s="1"/>
      <c r="I778" s="1"/>
      <c r="J778" s="1"/>
    </row>
    <row r="779" spans="2:10" ht="13">
      <c r="B779" s="1"/>
      <c r="C779" s="1"/>
      <c r="D779" s="1"/>
      <c r="E779" s="1"/>
      <c r="F779" s="1"/>
      <c r="G779" s="1"/>
      <c r="H779" s="1"/>
      <c r="I779" s="1"/>
      <c r="J779" s="1"/>
    </row>
    <row r="780" spans="2:10" ht="13">
      <c r="B780" s="1"/>
      <c r="C780" s="1"/>
      <c r="D780" s="1"/>
      <c r="E780" s="1"/>
      <c r="F780" s="1"/>
      <c r="G780" s="1"/>
      <c r="H780" s="1"/>
      <c r="I780" s="1"/>
      <c r="J780" s="1"/>
    </row>
    <row r="781" spans="2:10" ht="13">
      <c r="B781" s="1"/>
      <c r="C781" s="1"/>
      <c r="D781" s="1"/>
      <c r="E781" s="1"/>
      <c r="F781" s="1"/>
      <c r="G781" s="1"/>
      <c r="H781" s="1"/>
      <c r="I781" s="1"/>
      <c r="J781" s="1"/>
    </row>
    <row r="782" spans="2:10" ht="13">
      <c r="B782" s="1"/>
      <c r="C782" s="1"/>
      <c r="D782" s="1"/>
      <c r="E782" s="1"/>
      <c r="F782" s="1"/>
      <c r="G782" s="1"/>
      <c r="H782" s="1"/>
      <c r="I782" s="1"/>
      <c r="J782" s="1"/>
    </row>
    <row r="783" spans="2:10" ht="13">
      <c r="B783" s="1"/>
      <c r="C783" s="1"/>
      <c r="D783" s="1"/>
      <c r="E783" s="1"/>
      <c r="F783" s="1"/>
      <c r="G783" s="1"/>
      <c r="H783" s="1"/>
      <c r="I783" s="1"/>
      <c r="J783" s="1"/>
    </row>
    <row r="784" spans="2:10" ht="13">
      <c r="B784" s="1"/>
      <c r="C784" s="1"/>
      <c r="D784" s="1"/>
      <c r="E784" s="1"/>
      <c r="F784" s="1"/>
      <c r="G784" s="1"/>
      <c r="H784" s="1"/>
      <c r="I784" s="1"/>
      <c r="J784" s="1"/>
    </row>
    <row r="785" spans="2:10" ht="13">
      <c r="B785" s="1"/>
      <c r="C785" s="1"/>
      <c r="D785" s="1"/>
      <c r="E785" s="1"/>
      <c r="F785" s="1"/>
      <c r="G785" s="1"/>
      <c r="H785" s="1"/>
      <c r="I785" s="1"/>
      <c r="J785" s="1"/>
    </row>
    <row r="786" spans="2:10" ht="13">
      <c r="B786" s="1"/>
      <c r="C786" s="1"/>
      <c r="D786" s="1"/>
      <c r="E786" s="1"/>
      <c r="F786" s="1"/>
      <c r="G786" s="1"/>
      <c r="H786" s="1"/>
      <c r="I786" s="1"/>
      <c r="J786" s="1"/>
    </row>
    <row r="787" spans="2:10" ht="13">
      <c r="B787" s="1"/>
      <c r="C787" s="1"/>
      <c r="D787" s="1"/>
      <c r="E787" s="1"/>
      <c r="F787" s="1"/>
      <c r="G787" s="1"/>
      <c r="H787" s="1"/>
      <c r="I787" s="1"/>
      <c r="J787" s="1"/>
    </row>
    <row r="788" spans="2:10" ht="13">
      <c r="B788" s="1"/>
      <c r="C788" s="1"/>
      <c r="D788" s="1"/>
      <c r="E788" s="1"/>
      <c r="F788" s="1"/>
      <c r="G788" s="1"/>
      <c r="H788" s="1"/>
      <c r="I788" s="1"/>
      <c r="J788" s="1"/>
    </row>
    <row r="789" spans="2:10" ht="13">
      <c r="B789" s="1"/>
      <c r="C789" s="1"/>
      <c r="D789" s="1"/>
      <c r="E789" s="1"/>
      <c r="F789" s="1"/>
      <c r="G789" s="1"/>
      <c r="H789" s="1"/>
      <c r="I789" s="1"/>
      <c r="J789" s="1"/>
    </row>
    <row r="790" spans="2:10" ht="13">
      <c r="B790" s="1"/>
      <c r="C790" s="1"/>
      <c r="D790" s="1"/>
      <c r="E790" s="1"/>
      <c r="F790" s="1"/>
      <c r="G790" s="1"/>
      <c r="H790" s="1"/>
      <c r="I790" s="1"/>
      <c r="J790" s="1"/>
    </row>
    <row r="791" spans="2:10" ht="13">
      <c r="B791" s="1"/>
      <c r="C791" s="1"/>
      <c r="D791" s="1"/>
      <c r="E791" s="1"/>
      <c r="F791" s="1"/>
      <c r="G791" s="1"/>
      <c r="H791" s="1"/>
      <c r="I791" s="1"/>
      <c r="J791" s="1"/>
    </row>
    <row r="792" spans="2:10" ht="13">
      <c r="B792" s="1"/>
      <c r="C792" s="1"/>
      <c r="D792" s="1"/>
      <c r="E792" s="1"/>
      <c r="F792" s="1"/>
      <c r="G792" s="1"/>
      <c r="H792" s="1"/>
      <c r="I792" s="1"/>
      <c r="J792" s="1"/>
    </row>
    <row r="793" spans="2:10" ht="13">
      <c r="B793" s="1"/>
      <c r="C793" s="1"/>
      <c r="D793" s="1"/>
      <c r="E793" s="1"/>
      <c r="F793" s="1"/>
      <c r="G793" s="1"/>
      <c r="H793" s="1"/>
      <c r="I793" s="1"/>
      <c r="J793" s="1"/>
    </row>
    <row r="794" spans="2:10" ht="13">
      <c r="B794" s="1"/>
      <c r="C794" s="1"/>
      <c r="D794" s="1"/>
      <c r="E794" s="1"/>
      <c r="F794" s="1"/>
      <c r="G794" s="1"/>
      <c r="H794" s="1"/>
      <c r="I794" s="1"/>
      <c r="J794" s="1"/>
    </row>
    <row r="795" spans="2:10" ht="13">
      <c r="B795" s="1"/>
      <c r="C795" s="1"/>
      <c r="D795" s="1"/>
      <c r="E795" s="1"/>
      <c r="F795" s="1"/>
      <c r="G795" s="1"/>
      <c r="H795" s="1"/>
      <c r="I795" s="1"/>
      <c r="J795" s="1"/>
    </row>
    <row r="796" spans="2:10" ht="13">
      <c r="B796" s="1"/>
      <c r="C796" s="1"/>
      <c r="D796" s="1"/>
      <c r="E796" s="1"/>
      <c r="F796" s="1"/>
      <c r="G796" s="1"/>
      <c r="H796" s="1"/>
      <c r="I796" s="1"/>
      <c r="J796" s="1"/>
    </row>
    <row r="797" spans="2:10" ht="13">
      <c r="B797" s="1"/>
      <c r="C797" s="1"/>
      <c r="D797" s="1"/>
      <c r="E797" s="1"/>
      <c r="F797" s="1"/>
      <c r="G797" s="1"/>
      <c r="H797" s="1"/>
      <c r="I797" s="1"/>
      <c r="J797" s="1"/>
    </row>
    <row r="798" spans="2:10" ht="13">
      <c r="B798" s="1"/>
      <c r="C798" s="1"/>
      <c r="D798" s="1"/>
      <c r="E798" s="1"/>
      <c r="F798" s="1"/>
      <c r="G798" s="1"/>
      <c r="H798" s="1"/>
      <c r="I798" s="1"/>
      <c r="J798" s="1"/>
    </row>
    <row r="799" spans="2:10" ht="13">
      <c r="B799" s="1"/>
      <c r="C799" s="1"/>
      <c r="D799" s="1"/>
      <c r="E799" s="1"/>
      <c r="F799" s="1"/>
      <c r="G799" s="1"/>
      <c r="H799" s="1"/>
      <c r="I799" s="1"/>
      <c r="J799" s="1"/>
    </row>
    <row r="800" spans="2:10" ht="13">
      <c r="B800" s="1"/>
      <c r="C800" s="1"/>
      <c r="D800" s="1"/>
      <c r="E800" s="1"/>
      <c r="F800" s="1"/>
      <c r="G800" s="1"/>
      <c r="H800" s="1"/>
      <c r="I800" s="1"/>
      <c r="J800" s="1"/>
    </row>
    <row r="801" spans="2:10" ht="13">
      <c r="B801" s="1"/>
      <c r="C801" s="1"/>
      <c r="D801" s="1"/>
      <c r="E801" s="1"/>
      <c r="F801" s="1"/>
      <c r="G801" s="1"/>
      <c r="H801" s="1"/>
      <c r="I801" s="1"/>
      <c r="J801" s="1"/>
    </row>
    <row r="802" spans="2:10" ht="13">
      <c r="B802" s="1"/>
      <c r="C802" s="1"/>
      <c r="D802" s="1"/>
      <c r="E802" s="1"/>
      <c r="F802" s="1"/>
      <c r="G802" s="1"/>
      <c r="H802" s="1"/>
      <c r="I802" s="1"/>
      <c r="J802" s="1"/>
    </row>
    <row r="803" spans="2:10" ht="13">
      <c r="B803" s="1"/>
      <c r="C803" s="1"/>
      <c r="D803" s="1"/>
      <c r="E803" s="1"/>
      <c r="F803" s="1"/>
      <c r="G803" s="1"/>
      <c r="H803" s="1"/>
      <c r="I803" s="1"/>
      <c r="J803" s="1"/>
    </row>
    <row r="804" spans="2:10" ht="13">
      <c r="B804" s="1"/>
      <c r="C804" s="1"/>
      <c r="D804" s="1"/>
      <c r="E804" s="1"/>
      <c r="F804" s="1"/>
      <c r="G804" s="1"/>
      <c r="H804" s="1"/>
      <c r="I804" s="1"/>
      <c r="J804" s="1"/>
    </row>
    <row r="805" spans="2:10" ht="13">
      <c r="B805" s="1"/>
      <c r="C805" s="1"/>
      <c r="D805" s="1"/>
      <c r="E805" s="1"/>
      <c r="F805" s="1"/>
      <c r="G805" s="1"/>
      <c r="H805" s="1"/>
      <c r="I805" s="1"/>
      <c r="J805" s="1"/>
    </row>
    <row r="806" spans="2:10" ht="13">
      <c r="B806" s="1"/>
      <c r="C806" s="1"/>
      <c r="D806" s="1"/>
      <c r="E806" s="1"/>
      <c r="F806" s="1"/>
      <c r="G806" s="1"/>
      <c r="H806" s="1"/>
      <c r="I806" s="1"/>
      <c r="J806" s="1"/>
    </row>
    <row r="807" spans="2:10" ht="13">
      <c r="B807" s="1"/>
      <c r="C807" s="1"/>
      <c r="D807" s="1"/>
      <c r="E807" s="1"/>
      <c r="F807" s="1"/>
      <c r="G807" s="1"/>
      <c r="H807" s="1"/>
      <c r="I807" s="1"/>
      <c r="J807" s="1"/>
    </row>
    <row r="808" spans="2:10" ht="13">
      <c r="B808" s="1"/>
      <c r="C808" s="1"/>
      <c r="D808" s="1"/>
      <c r="E808" s="1"/>
      <c r="F808" s="1"/>
      <c r="G808" s="1"/>
      <c r="H808" s="1"/>
      <c r="I808" s="1"/>
      <c r="J808" s="1"/>
    </row>
    <row r="809" spans="2:10" ht="13">
      <c r="B809" s="1"/>
      <c r="C809" s="1"/>
      <c r="D809" s="1"/>
      <c r="E809" s="1"/>
      <c r="F809" s="1"/>
      <c r="G809" s="1"/>
      <c r="H809" s="1"/>
      <c r="I809" s="1"/>
      <c r="J809" s="1"/>
    </row>
    <row r="810" spans="2:10" ht="13">
      <c r="B810" s="1"/>
      <c r="C810" s="1"/>
      <c r="D810" s="1"/>
      <c r="E810" s="1"/>
      <c r="F810" s="1"/>
      <c r="G810" s="1"/>
      <c r="H810" s="1"/>
      <c r="I810" s="1"/>
      <c r="J810" s="1"/>
    </row>
    <row r="811" spans="2:10" ht="13">
      <c r="B811" s="1"/>
      <c r="C811" s="1"/>
      <c r="D811" s="1"/>
      <c r="E811" s="1"/>
      <c r="F811" s="1"/>
      <c r="G811" s="1"/>
      <c r="H811" s="1"/>
      <c r="I811" s="1"/>
      <c r="J811" s="1"/>
    </row>
    <row r="812" spans="2:10" ht="13">
      <c r="B812" s="1"/>
      <c r="C812" s="1"/>
      <c r="D812" s="1"/>
      <c r="E812" s="1"/>
      <c r="F812" s="1"/>
      <c r="G812" s="1"/>
      <c r="H812" s="1"/>
      <c r="I812" s="1"/>
      <c r="J812" s="1"/>
    </row>
    <row r="813" spans="2:10" ht="13">
      <c r="B813" s="1"/>
      <c r="C813" s="1"/>
      <c r="D813" s="1"/>
      <c r="E813" s="1"/>
      <c r="F813" s="1"/>
      <c r="G813" s="1"/>
      <c r="H813" s="1"/>
      <c r="I813" s="1"/>
      <c r="J813" s="1"/>
    </row>
    <row r="814" spans="2:10" ht="13">
      <c r="B814" s="1"/>
      <c r="C814" s="1"/>
      <c r="D814" s="1"/>
      <c r="E814" s="1"/>
      <c r="F814" s="1"/>
      <c r="G814" s="1"/>
      <c r="H814" s="1"/>
      <c r="I814" s="1"/>
      <c r="J814" s="1"/>
    </row>
    <row r="815" spans="2:10" ht="13">
      <c r="B815" s="1"/>
      <c r="C815" s="1"/>
      <c r="D815" s="1"/>
      <c r="E815" s="1"/>
      <c r="F815" s="1"/>
      <c r="G815" s="1"/>
      <c r="H815" s="1"/>
      <c r="I815" s="1"/>
      <c r="J815" s="1"/>
    </row>
    <row r="816" spans="2:10" ht="13">
      <c r="B816" s="1"/>
      <c r="C816" s="1"/>
      <c r="D816" s="1"/>
      <c r="E816" s="1"/>
      <c r="F816" s="1"/>
      <c r="G816" s="1"/>
      <c r="H816" s="1"/>
      <c r="I816" s="1"/>
      <c r="J816" s="1"/>
    </row>
    <row r="817" spans="2:10" ht="13">
      <c r="B817" s="1"/>
      <c r="C817" s="1"/>
      <c r="D817" s="1"/>
      <c r="E817" s="1"/>
      <c r="F817" s="1"/>
      <c r="G817" s="1"/>
      <c r="H817" s="1"/>
      <c r="I817" s="1"/>
      <c r="J817" s="1"/>
    </row>
    <row r="818" spans="2:10" ht="13">
      <c r="B818" s="1"/>
      <c r="C818" s="1"/>
      <c r="D818" s="1"/>
      <c r="E818" s="1"/>
      <c r="F818" s="1"/>
      <c r="G818" s="1"/>
      <c r="H818" s="1"/>
      <c r="I818" s="1"/>
      <c r="J818" s="1"/>
    </row>
    <row r="819" spans="2:10" ht="13">
      <c r="B819" s="1"/>
      <c r="C819" s="1"/>
      <c r="D819" s="1"/>
      <c r="E819" s="1"/>
      <c r="F819" s="1"/>
      <c r="G819" s="1"/>
      <c r="H819" s="1"/>
      <c r="I819" s="1"/>
      <c r="J819" s="1"/>
    </row>
    <row r="820" spans="2:10" ht="13">
      <c r="B820" s="1"/>
      <c r="C820" s="1"/>
      <c r="D820" s="1"/>
      <c r="E820" s="1"/>
      <c r="F820" s="1"/>
      <c r="G820" s="1"/>
      <c r="H820" s="1"/>
      <c r="I820" s="1"/>
      <c r="J820" s="1"/>
    </row>
    <row r="821" spans="2:10" ht="13">
      <c r="B821" s="1"/>
      <c r="C821" s="1"/>
      <c r="D821" s="1"/>
      <c r="E821" s="1"/>
      <c r="F821" s="1"/>
      <c r="G821" s="1"/>
      <c r="H821" s="1"/>
      <c r="I821" s="1"/>
      <c r="J821" s="1"/>
    </row>
    <row r="822" spans="2:10" ht="13">
      <c r="B822" s="1"/>
      <c r="C822" s="1"/>
      <c r="D822" s="1"/>
      <c r="E822" s="1"/>
      <c r="F822" s="1"/>
      <c r="G822" s="1"/>
      <c r="H822" s="1"/>
      <c r="I822" s="1"/>
      <c r="J822" s="1"/>
    </row>
    <row r="823" spans="2:10" ht="13">
      <c r="B823" s="1"/>
      <c r="C823" s="1"/>
      <c r="D823" s="1"/>
      <c r="E823" s="1"/>
      <c r="F823" s="1"/>
      <c r="G823" s="1"/>
      <c r="H823" s="1"/>
      <c r="I823" s="1"/>
      <c r="J823" s="1"/>
    </row>
    <row r="824" spans="2:10" ht="13">
      <c r="B824" s="1"/>
      <c r="C824" s="1"/>
      <c r="D824" s="1"/>
      <c r="E824" s="1"/>
      <c r="F824" s="1"/>
      <c r="G824" s="1"/>
      <c r="H824" s="1"/>
      <c r="I824" s="1"/>
      <c r="J824" s="1"/>
    </row>
    <row r="825" spans="2:10" ht="13">
      <c r="B825" s="1"/>
      <c r="C825" s="1"/>
      <c r="D825" s="1"/>
      <c r="E825" s="1"/>
      <c r="F825" s="1"/>
      <c r="G825" s="1"/>
      <c r="H825" s="1"/>
      <c r="I825" s="1"/>
      <c r="J825" s="1"/>
    </row>
    <row r="826" spans="2:10" ht="13">
      <c r="B826" s="1"/>
      <c r="C826" s="1"/>
      <c r="D826" s="1"/>
      <c r="E826" s="1"/>
      <c r="F826" s="1"/>
      <c r="G826" s="1"/>
      <c r="H826" s="1"/>
      <c r="I826" s="1"/>
      <c r="J826" s="1"/>
    </row>
    <row r="827" spans="2:10" ht="13">
      <c r="B827" s="1"/>
      <c r="C827" s="1"/>
      <c r="D827" s="1"/>
      <c r="E827" s="1"/>
      <c r="F827" s="1"/>
      <c r="G827" s="1"/>
      <c r="H827" s="1"/>
      <c r="I827" s="1"/>
      <c r="J827" s="1"/>
    </row>
    <row r="828" spans="2:10" ht="13">
      <c r="B828" s="1"/>
      <c r="C828" s="1"/>
      <c r="D828" s="1"/>
      <c r="E828" s="1"/>
      <c r="F828" s="1"/>
      <c r="G828" s="1"/>
      <c r="H828" s="1"/>
      <c r="I828" s="1"/>
      <c r="J828" s="1"/>
    </row>
    <row r="829" spans="2:10" ht="13">
      <c r="B829" s="1"/>
      <c r="C829" s="1"/>
      <c r="D829" s="1"/>
      <c r="E829" s="1"/>
      <c r="F829" s="1"/>
      <c r="G829" s="1"/>
      <c r="H829" s="1"/>
      <c r="I829" s="1"/>
      <c r="J829" s="1"/>
    </row>
    <row r="830" spans="2:10" ht="13">
      <c r="B830" s="1"/>
      <c r="C830" s="1"/>
      <c r="D830" s="1"/>
      <c r="E830" s="1"/>
      <c r="F830" s="1"/>
      <c r="G830" s="1"/>
      <c r="H830" s="1"/>
      <c r="I830" s="1"/>
      <c r="J830" s="1"/>
    </row>
    <row r="831" spans="2:10" ht="13">
      <c r="B831" s="1"/>
      <c r="C831" s="1"/>
      <c r="D831" s="1"/>
      <c r="E831" s="1"/>
      <c r="F831" s="1"/>
      <c r="G831" s="1"/>
      <c r="H831" s="1"/>
      <c r="I831" s="1"/>
      <c r="J831" s="1"/>
    </row>
    <row r="832" spans="2:10" ht="13">
      <c r="B832" s="1"/>
      <c r="C832" s="1"/>
      <c r="D832" s="1"/>
      <c r="E832" s="1"/>
      <c r="F832" s="1"/>
      <c r="G832" s="1"/>
      <c r="H832" s="1"/>
      <c r="I832" s="1"/>
      <c r="J832" s="1"/>
    </row>
    <row r="833" spans="2:10" ht="13">
      <c r="B833" s="1"/>
      <c r="C833" s="1"/>
      <c r="D833" s="1"/>
      <c r="E833" s="1"/>
      <c r="F833" s="1"/>
      <c r="G833" s="1"/>
      <c r="H833" s="1"/>
      <c r="I833" s="1"/>
      <c r="J833" s="1"/>
    </row>
    <row r="834" spans="2:10" ht="13">
      <c r="B834" s="1"/>
      <c r="C834" s="1"/>
      <c r="D834" s="1"/>
      <c r="E834" s="1"/>
      <c r="F834" s="1"/>
      <c r="G834" s="1"/>
      <c r="H834" s="1"/>
      <c r="I834" s="1"/>
      <c r="J834" s="1"/>
    </row>
    <row r="835" spans="2:10" ht="13">
      <c r="B835" s="1"/>
      <c r="C835" s="1"/>
      <c r="D835" s="1"/>
      <c r="E835" s="1"/>
      <c r="F835" s="1"/>
      <c r="G835" s="1"/>
      <c r="H835" s="1"/>
      <c r="I835" s="1"/>
      <c r="J835" s="1"/>
    </row>
    <row r="836" spans="2:10" ht="13">
      <c r="B836" s="1"/>
      <c r="C836" s="1"/>
      <c r="D836" s="1"/>
      <c r="E836" s="1"/>
      <c r="F836" s="1"/>
      <c r="G836" s="1"/>
      <c r="H836" s="1"/>
      <c r="I836" s="1"/>
      <c r="J836" s="1"/>
    </row>
    <row r="837" spans="2:10" ht="13">
      <c r="B837" s="1"/>
      <c r="C837" s="1"/>
      <c r="D837" s="1"/>
      <c r="E837" s="1"/>
      <c r="F837" s="1"/>
      <c r="G837" s="1"/>
      <c r="H837" s="1"/>
      <c r="I837" s="1"/>
      <c r="J837" s="1"/>
    </row>
    <row r="838" spans="2:10" ht="13">
      <c r="B838" s="1"/>
      <c r="C838" s="1"/>
      <c r="D838" s="1"/>
      <c r="E838" s="1"/>
      <c r="F838" s="1"/>
      <c r="G838" s="1"/>
      <c r="H838" s="1"/>
      <c r="I838" s="1"/>
      <c r="J838" s="1"/>
    </row>
    <row r="839" spans="2:10" ht="13">
      <c r="B839" s="1"/>
      <c r="C839" s="1"/>
      <c r="D839" s="1"/>
      <c r="E839" s="1"/>
      <c r="F839" s="1"/>
      <c r="G839" s="1"/>
      <c r="H839" s="1"/>
      <c r="I839" s="1"/>
      <c r="J839" s="1"/>
    </row>
    <row r="840" spans="2:10" ht="13">
      <c r="B840" s="1"/>
      <c r="C840" s="1"/>
      <c r="D840" s="1"/>
      <c r="E840" s="1"/>
      <c r="F840" s="1"/>
      <c r="G840" s="1"/>
      <c r="H840" s="1"/>
      <c r="I840" s="1"/>
      <c r="J840" s="1"/>
    </row>
    <row r="841" spans="2:10" ht="13">
      <c r="B841" s="1"/>
      <c r="C841" s="1"/>
      <c r="D841" s="1"/>
      <c r="E841" s="1"/>
      <c r="F841" s="1"/>
      <c r="G841" s="1"/>
      <c r="H841" s="1"/>
      <c r="I841" s="1"/>
      <c r="J841" s="1"/>
    </row>
    <row r="842" spans="2:10" ht="13">
      <c r="B842" s="1"/>
      <c r="C842" s="1"/>
      <c r="D842" s="1"/>
      <c r="E842" s="1"/>
      <c r="F842" s="1"/>
      <c r="G842" s="1"/>
      <c r="H842" s="1"/>
      <c r="I842" s="1"/>
      <c r="J842" s="1"/>
    </row>
    <row r="843" spans="2:10" ht="13">
      <c r="B843" s="1"/>
      <c r="C843" s="1"/>
      <c r="D843" s="1"/>
      <c r="E843" s="1"/>
      <c r="F843" s="1"/>
      <c r="G843" s="1"/>
      <c r="H843" s="1"/>
      <c r="I843" s="1"/>
      <c r="J843" s="1"/>
    </row>
    <row r="844" spans="2:10" ht="13">
      <c r="B844" s="1"/>
      <c r="C844" s="1"/>
      <c r="D844" s="1"/>
      <c r="E844" s="1"/>
      <c r="F844" s="1"/>
      <c r="G844" s="1"/>
      <c r="H844" s="1"/>
      <c r="I844" s="1"/>
      <c r="J844" s="1"/>
    </row>
    <row r="845" spans="2:10" ht="13">
      <c r="B845" s="1"/>
      <c r="C845" s="1"/>
      <c r="D845" s="1"/>
      <c r="E845" s="1"/>
      <c r="F845" s="1"/>
      <c r="G845" s="1"/>
      <c r="H845" s="1"/>
      <c r="I845" s="1"/>
      <c r="J845" s="1"/>
    </row>
    <row r="846" spans="2:10" ht="13">
      <c r="B846" s="1"/>
      <c r="C846" s="1"/>
      <c r="D846" s="1"/>
      <c r="E846" s="1"/>
      <c r="F846" s="1"/>
      <c r="G846" s="1"/>
      <c r="H846" s="1"/>
      <c r="I846" s="1"/>
      <c r="J846" s="1"/>
    </row>
    <row r="847" spans="2:10" ht="13">
      <c r="B847" s="1"/>
      <c r="C847" s="1"/>
      <c r="D847" s="1"/>
      <c r="E847" s="1"/>
      <c r="F847" s="1"/>
      <c r="G847" s="1"/>
      <c r="H847" s="1"/>
      <c r="I847" s="1"/>
      <c r="J847" s="1"/>
    </row>
    <row r="848" spans="2:10" ht="13">
      <c r="B848" s="1"/>
      <c r="C848" s="1"/>
      <c r="D848" s="1"/>
      <c r="E848" s="1"/>
      <c r="F848" s="1"/>
      <c r="G848" s="1"/>
      <c r="H848" s="1"/>
      <c r="I848" s="1"/>
      <c r="J848" s="1"/>
    </row>
    <row r="849" spans="2:10" ht="13">
      <c r="B849" s="1"/>
      <c r="C849" s="1"/>
      <c r="D849" s="1"/>
      <c r="E849" s="1"/>
      <c r="F849" s="1"/>
      <c r="G849" s="1"/>
      <c r="H849" s="1"/>
      <c r="I849" s="1"/>
      <c r="J849" s="1"/>
    </row>
    <row r="850" spans="2:10" ht="13">
      <c r="B850" s="1"/>
      <c r="C850" s="1"/>
      <c r="D850" s="1"/>
      <c r="E850" s="1"/>
      <c r="F850" s="1"/>
      <c r="G850" s="1"/>
      <c r="H850" s="1"/>
      <c r="I850" s="1"/>
      <c r="J850" s="1"/>
    </row>
    <row r="851" spans="2:10" ht="13">
      <c r="B851" s="1"/>
      <c r="C851" s="1"/>
      <c r="D851" s="1"/>
      <c r="E851" s="1"/>
      <c r="F851" s="1"/>
      <c r="G851" s="1"/>
      <c r="H851" s="1"/>
      <c r="I851" s="1"/>
      <c r="J851" s="1"/>
    </row>
    <row r="852" spans="2:10" ht="13">
      <c r="B852" s="1"/>
      <c r="C852" s="1"/>
      <c r="D852" s="1"/>
      <c r="E852" s="1"/>
      <c r="F852" s="1"/>
      <c r="G852" s="1"/>
      <c r="H852" s="1"/>
      <c r="I852" s="1"/>
      <c r="J852" s="1"/>
    </row>
    <row r="853" spans="2:10" ht="13">
      <c r="B853" s="1"/>
      <c r="C853" s="1"/>
      <c r="D853" s="1"/>
      <c r="E853" s="1"/>
      <c r="F853" s="1"/>
      <c r="G853" s="1"/>
      <c r="H853" s="1"/>
      <c r="I853" s="1"/>
      <c r="J853" s="1"/>
    </row>
    <row r="854" spans="2:10" ht="13">
      <c r="B854" s="1"/>
      <c r="C854" s="1"/>
      <c r="D854" s="1"/>
      <c r="E854" s="1"/>
      <c r="F854" s="1"/>
      <c r="G854" s="1"/>
      <c r="H854" s="1"/>
      <c r="I854" s="1"/>
      <c r="J854" s="1"/>
    </row>
    <row r="855" spans="2:10" ht="13">
      <c r="B855" s="1"/>
      <c r="C855" s="1"/>
      <c r="D855" s="1"/>
      <c r="E855" s="1"/>
      <c r="F855" s="1"/>
      <c r="G855" s="1"/>
      <c r="H855" s="1"/>
      <c r="I855" s="1"/>
      <c r="J855" s="1"/>
    </row>
    <row r="856" spans="2:10" ht="13">
      <c r="B856" s="1"/>
      <c r="C856" s="1"/>
      <c r="D856" s="1"/>
      <c r="E856" s="1"/>
      <c r="F856" s="1"/>
      <c r="G856" s="1"/>
      <c r="H856" s="1"/>
      <c r="I856" s="1"/>
      <c r="J856" s="1"/>
    </row>
    <row r="857" spans="2:10" ht="13">
      <c r="B857" s="1"/>
      <c r="C857" s="1"/>
      <c r="D857" s="1"/>
      <c r="E857" s="1"/>
      <c r="F857" s="1"/>
      <c r="G857" s="1"/>
      <c r="H857" s="1"/>
      <c r="I857" s="1"/>
      <c r="J857" s="1"/>
    </row>
    <row r="858" spans="2:10" ht="13">
      <c r="B858" s="1"/>
      <c r="C858" s="1"/>
      <c r="D858" s="1"/>
      <c r="E858" s="1"/>
      <c r="F858" s="1"/>
      <c r="G858" s="1"/>
      <c r="H858" s="1"/>
      <c r="I858" s="1"/>
      <c r="J858" s="1"/>
    </row>
    <row r="859" spans="2:10" ht="13">
      <c r="B859" s="1"/>
      <c r="C859" s="1"/>
      <c r="D859" s="1"/>
      <c r="E859" s="1"/>
      <c r="F859" s="1"/>
      <c r="G859" s="1"/>
      <c r="H859" s="1"/>
      <c r="I859" s="1"/>
      <c r="J859" s="1"/>
    </row>
    <row r="860" spans="2:10" ht="13">
      <c r="B860" s="1"/>
      <c r="C860" s="1"/>
      <c r="D860" s="1"/>
      <c r="E860" s="1"/>
      <c r="F860" s="1"/>
      <c r="G860" s="1"/>
      <c r="H860" s="1"/>
      <c r="I860" s="1"/>
      <c r="J860" s="1"/>
    </row>
    <row r="861" spans="2:10" ht="13">
      <c r="B861" s="1"/>
      <c r="C861" s="1"/>
      <c r="D861" s="1"/>
      <c r="E861" s="1"/>
      <c r="F861" s="1"/>
      <c r="G861" s="1"/>
      <c r="H861" s="1"/>
      <c r="I861" s="1"/>
      <c r="J861" s="1"/>
    </row>
    <row r="862" spans="2:10" ht="13">
      <c r="B862" s="1"/>
      <c r="C862" s="1"/>
      <c r="D862" s="1"/>
      <c r="E862" s="1"/>
      <c r="F862" s="1"/>
      <c r="G862" s="1"/>
      <c r="H862" s="1"/>
      <c r="I862" s="1"/>
      <c r="J862" s="1"/>
    </row>
    <row r="863" spans="2:10" ht="13">
      <c r="B863" s="1"/>
      <c r="C863" s="1"/>
      <c r="D863" s="1"/>
      <c r="E863" s="1"/>
      <c r="F863" s="1"/>
      <c r="G863" s="1"/>
      <c r="H863" s="1"/>
      <c r="I863" s="1"/>
      <c r="J863" s="1"/>
    </row>
    <row r="864" spans="2:10" ht="13">
      <c r="B864" s="1"/>
      <c r="C864" s="1"/>
      <c r="D864" s="1"/>
      <c r="E864" s="1"/>
      <c r="F864" s="1"/>
      <c r="G864" s="1"/>
      <c r="H864" s="1"/>
      <c r="I864" s="1"/>
      <c r="J864" s="1"/>
    </row>
    <row r="865" spans="2:10" ht="13">
      <c r="B865" s="1"/>
      <c r="C865" s="1"/>
      <c r="D865" s="1"/>
      <c r="E865" s="1"/>
      <c r="F865" s="1"/>
      <c r="G865" s="1"/>
      <c r="H865" s="1"/>
      <c r="I865" s="1"/>
      <c r="J865" s="1"/>
    </row>
    <row r="866" spans="2:10" ht="13">
      <c r="B866" s="1"/>
      <c r="C866" s="1"/>
      <c r="D866" s="1"/>
      <c r="E866" s="1"/>
      <c r="F866" s="1"/>
      <c r="G866" s="1"/>
      <c r="H866" s="1"/>
      <c r="I866" s="1"/>
      <c r="J866" s="1"/>
    </row>
    <row r="867" spans="2:10" ht="13">
      <c r="B867" s="1"/>
      <c r="C867" s="1"/>
      <c r="D867" s="1"/>
      <c r="E867" s="1"/>
      <c r="F867" s="1"/>
      <c r="G867" s="1"/>
      <c r="H867" s="1"/>
      <c r="I867" s="1"/>
      <c r="J867" s="1"/>
    </row>
    <row r="868" spans="2:10" ht="13">
      <c r="B868" s="1"/>
      <c r="C868" s="1"/>
      <c r="D868" s="1"/>
      <c r="E868" s="1"/>
      <c r="F868" s="1"/>
      <c r="G868" s="1"/>
      <c r="H868" s="1"/>
      <c r="I868" s="1"/>
      <c r="J868" s="1"/>
    </row>
    <row r="869" spans="2:10" ht="13">
      <c r="B869" s="1"/>
      <c r="C869" s="1"/>
      <c r="D869" s="1"/>
      <c r="E869" s="1"/>
      <c r="F869" s="1"/>
      <c r="G869" s="1"/>
      <c r="H869" s="1"/>
      <c r="I869" s="1"/>
      <c r="J869" s="1"/>
    </row>
    <row r="870" spans="2:10" ht="13">
      <c r="B870" s="1"/>
      <c r="C870" s="1"/>
      <c r="D870" s="1"/>
      <c r="E870" s="1"/>
      <c r="F870" s="1"/>
      <c r="G870" s="1"/>
      <c r="H870" s="1"/>
      <c r="I870" s="1"/>
      <c r="J870" s="1"/>
    </row>
    <row r="871" spans="2:10" ht="13">
      <c r="B871" s="1"/>
      <c r="C871" s="1"/>
      <c r="D871" s="1"/>
      <c r="E871" s="1"/>
      <c r="F871" s="1"/>
      <c r="G871" s="1"/>
      <c r="H871" s="1"/>
      <c r="I871" s="1"/>
      <c r="J871" s="1"/>
    </row>
    <row r="872" spans="2:10" ht="13">
      <c r="B872" s="1"/>
      <c r="C872" s="1"/>
      <c r="D872" s="1"/>
      <c r="E872" s="1"/>
      <c r="F872" s="1"/>
      <c r="G872" s="1"/>
      <c r="H872" s="1"/>
      <c r="I872" s="1"/>
      <c r="J872" s="1"/>
    </row>
    <row r="873" spans="2:10" ht="13">
      <c r="B873" s="1"/>
      <c r="C873" s="1"/>
      <c r="D873" s="1"/>
      <c r="E873" s="1"/>
      <c r="F873" s="1"/>
      <c r="G873" s="1"/>
      <c r="H873" s="1"/>
      <c r="I873" s="1"/>
      <c r="J873" s="1"/>
    </row>
    <row r="874" spans="2:10" ht="13">
      <c r="B874" s="1"/>
      <c r="C874" s="1"/>
      <c r="D874" s="1"/>
      <c r="E874" s="1"/>
      <c r="F874" s="1"/>
      <c r="G874" s="1"/>
      <c r="H874" s="1"/>
      <c r="I874" s="1"/>
      <c r="J874" s="1"/>
    </row>
    <row r="875" spans="2:10" ht="13">
      <c r="B875" s="1"/>
      <c r="C875" s="1"/>
      <c r="D875" s="1"/>
      <c r="E875" s="1"/>
      <c r="F875" s="1"/>
      <c r="G875" s="1"/>
      <c r="H875" s="1"/>
      <c r="I875" s="1"/>
      <c r="J875" s="1"/>
    </row>
    <row r="876" spans="2:10" ht="13">
      <c r="B876" s="1"/>
      <c r="C876" s="1"/>
      <c r="D876" s="1"/>
      <c r="E876" s="1"/>
      <c r="F876" s="1"/>
      <c r="G876" s="1"/>
      <c r="H876" s="1"/>
      <c r="I876" s="1"/>
      <c r="J876" s="1"/>
    </row>
    <row r="877" spans="2:10" ht="13">
      <c r="B877" s="1"/>
      <c r="C877" s="1"/>
      <c r="D877" s="1"/>
      <c r="E877" s="1"/>
      <c r="F877" s="1"/>
      <c r="G877" s="1"/>
      <c r="H877" s="1"/>
      <c r="I877" s="1"/>
      <c r="J877" s="1"/>
    </row>
    <row r="878" spans="2:10" ht="13">
      <c r="B878" s="1"/>
      <c r="C878" s="1"/>
      <c r="D878" s="1"/>
      <c r="E878" s="1"/>
      <c r="F878" s="1"/>
      <c r="G878" s="1"/>
      <c r="H878" s="1"/>
      <c r="I878" s="1"/>
      <c r="J878" s="1"/>
    </row>
    <row r="879" spans="2:10" ht="13">
      <c r="B879" s="1"/>
      <c r="C879" s="1"/>
      <c r="D879" s="1"/>
      <c r="E879" s="1"/>
      <c r="F879" s="1"/>
      <c r="G879" s="1"/>
      <c r="H879" s="1"/>
      <c r="I879" s="1"/>
      <c r="J879" s="1"/>
    </row>
    <row r="880" spans="2:10" ht="13">
      <c r="B880" s="1"/>
      <c r="C880" s="1"/>
      <c r="D880" s="1"/>
      <c r="E880" s="1"/>
      <c r="F880" s="1"/>
      <c r="G880" s="1"/>
      <c r="H880" s="1"/>
      <c r="I880" s="1"/>
      <c r="J880" s="1"/>
    </row>
    <row r="881" spans="2:10" ht="13">
      <c r="B881" s="1"/>
      <c r="C881" s="1"/>
      <c r="D881" s="1"/>
      <c r="E881" s="1"/>
      <c r="F881" s="1"/>
      <c r="G881" s="1"/>
      <c r="H881" s="1"/>
      <c r="I881" s="1"/>
      <c r="J881" s="1"/>
    </row>
    <row r="882" spans="2:10" ht="13">
      <c r="B882" s="1"/>
      <c r="C882" s="1"/>
      <c r="D882" s="1"/>
      <c r="E882" s="1"/>
      <c r="F882" s="1"/>
      <c r="G882" s="1"/>
      <c r="H882" s="1"/>
      <c r="I882" s="1"/>
      <c r="J882" s="1"/>
    </row>
    <row r="883" spans="2:10" ht="13">
      <c r="B883" s="1"/>
      <c r="C883" s="1"/>
      <c r="D883" s="1"/>
      <c r="E883" s="1"/>
      <c r="F883" s="1"/>
      <c r="G883" s="1"/>
      <c r="H883" s="1"/>
      <c r="I883" s="1"/>
      <c r="J883" s="1"/>
    </row>
    <row r="884" spans="2:10" ht="13">
      <c r="B884" s="1"/>
      <c r="C884" s="1"/>
      <c r="D884" s="1"/>
      <c r="E884" s="1"/>
      <c r="F884" s="1"/>
      <c r="G884" s="1"/>
      <c r="H884" s="1"/>
      <c r="I884" s="1"/>
      <c r="J884" s="1"/>
    </row>
    <row r="885" spans="2:10" ht="13">
      <c r="B885" s="1"/>
      <c r="C885" s="1"/>
      <c r="D885" s="1"/>
      <c r="E885" s="1"/>
      <c r="F885" s="1"/>
      <c r="G885" s="1"/>
      <c r="H885" s="1"/>
      <c r="I885" s="1"/>
      <c r="J885" s="1"/>
    </row>
    <row r="886" spans="2:10" ht="13">
      <c r="B886" s="1"/>
      <c r="C886" s="1"/>
      <c r="D886" s="1"/>
      <c r="E886" s="1"/>
      <c r="F886" s="1"/>
      <c r="G886" s="1"/>
      <c r="H886" s="1"/>
      <c r="I886" s="1"/>
      <c r="J886" s="1"/>
    </row>
    <row r="887" spans="2:10" ht="13">
      <c r="B887" s="1"/>
      <c r="C887" s="1"/>
      <c r="D887" s="1"/>
      <c r="E887" s="1"/>
      <c r="F887" s="1"/>
      <c r="G887" s="1"/>
      <c r="H887" s="1"/>
      <c r="I887" s="1"/>
      <c r="J887" s="1"/>
    </row>
    <row r="888" spans="2:10" ht="13">
      <c r="B888" s="1"/>
      <c r="C888" s="1"/>
      <c r="D888" s="1"/>
      <c r="E888" s="1"/>
      <c r="F888" s="1"/>
      <c r="G888" s="1"/>
      <c r="H888" s="1"/>
      <c r="I888" s="1"/>
      <c r="J888" s="1"/>
    </row>
    <row r="889" spans="2:10" ht="13">
      <c r="B889" s="1"/>
      <c r="C889" s="1"/>
      <c r="D889" s="1"/>
      <c r="E889" s="1"/>
      <c r="F889" s="1"/>
      <c r="G889" s="1"/>
      <c r="H889" s="1"/>
      <c r="I889" s="1"/>
      <c r="J889" s="1"/>
    </row>
    <row r="890" spans="2:10" ht="13">
      <c r="B890" s="1"/>
      <c r="C890" s="1"/>
      <c r="D890" s="1"/>
      <c r="E890" s="1"/>
      <c r="F890" s="1"/>
      <c r="G890" s="1"/>
      <c r="H890" s="1"/>
      <c r="I890" s="1"/>
      <c r="J890" s="1"/>
    </row>
    <row r="891" spans="2:10" ht="13">
      <c r="B891" s="1"/>
      <c r="C891" s="1"/>
      <c r="D891" s="1"/>
      <c r="E891" s="1"/>
      <c r="F891" s="1"/>
      <c r="G891" s="1"/>
      <c r="H891" s="1"/>
      <c r="I891" s="1"/>
      <c r="J891" s="1"/>
    </row>
    <row r="892" spans="2:10" ht="13">
      <c r="B892" s="1"/>
      <c r="C892" s="1"/>
      <c r="D892" s="1"/>
      <c r="E892" s="1"/>
      <c r="F892" s="1"/>
      <c r="G892" s="1"/>
      <c r="H892" s="1"/>
      <c r="I892" s="1"/>
      <c r="J892" s="1"/>
    </row>
    <row r="893" spans="2:10" ht="13">
      <c r="B893" s="1"/>
      <c r="C893" s="1"/>
      <c r="D893" s="1"/>
      <c r="E893" s="1"/>
      <c r="F893" s="1"/>
      <c r="G893" s="1"/>
      <c r="H893" s="1"/>
      <c r="I893" s="1"/>
      <c r="J893" s="1"/>
    </row>
    <row r="894" spans="2:10" ht="13">
      <c r="B894" s="1"/>
      <c r="C894" s="1"/>
      <c r="D894" s="1"/>
      <c r="E894" s="1"/>
      <c r="F894" s="1"/>
      <c r="G894" s="1"/>
      <c r="H894" s="1"/>
      <c r="I894" s="1"/>
      <c r="J894" s="1"/>
    </row>
    <row r="895" spans="2:10" ht="13">
      <c r="B895" s="1"/>
      <c r="C895" s="1"/>
      <c r="D895" s="1"/>
      <c r="E895" s="1"/>
      <c r="F895" s="1"/>
      <c r="G895" s="1"/>
      <c r="H895" s="1"/>
      <c r="I895" s="1"/>
      <c r="J895" s="1"/>
    </row>
    <row r="896" spans="2:10" ht="13">
      <c r="B896" s="1"/>
      <c r="C896" s="1"/>
      <c r="D896" s="1"/>
      <c r="E896" s="1"/>
      <c r="F896" s="1"/>
      <c r="G896" s="1"/>
      <c r="H896" s="1"/>
      <c r="I896" s="1"/>
      <c r="J896" s="1"/>
    </row>
    <row r="897" spans="2:10" ht="13">
      <c r="B897" s="1"/>
      <c r="C897" s="1"/>
      <c r="D897" s="1"/>
      <c r="E897" s="1"/>
      <c r="F897" s="1"/>
      <c r="G897" s="1"/>
      <c r="H897" s="1"/>
      <c r="I897" s="1"/>
      <c r="J897" s="1"/>
    </row>
    <row r="898" spans="2:10" ht="13">
      <c r="B898" s="1"/>
      <c r="C898" s="1"/>
      <c r="D898" s="1"/>
      <c r="E898" s="1"/>
      <c r="F898" s="1"/>
      <c r="G898" s="1"/>
      <c r="H898" s="1"/>
      <c r="I898" s="1"/>
      <c r="J898" s="1"/>
    </row>
    <row r="899" spans="2:10" ht="13">
      <c r="B899" s="1"/>
      <c r="C899" s="1"/>
      <c r="D899" s="1"/>
      <c r="E899" s="1"/>
      <c r="F899" s="1"/>
      <c r="G899" s="1"/>
      <c r="H899" s="1"/>
      <c r="I899" s="1"/>
      <c r="J899" s="1"/>
    </row>
    <row r="900" spans="2:10" ht="13">
      <c r="B900" s="1"/>
      <c r="C900" s="1"/>
      <c r="D900" s="1"/>
      <c r="E900" s="1"/>
      <c r="F900" s="1"/>
      <c r="G900" s="1"/>
      <c r="H900" s="1"/>
      <c r="I900" s="1"/>
      <c r="J900" s="1"/>
    </row>
    <row r="901" spans="2:10" ht="13">
      <c r="B901" s="1"/>
      <c r="C901" s="1"/>
      <c r="D901" s="1"/>
      <c r="E901" s="1"/>
      <c r="F901" s="1"/>
      <c r="G901" s="1"/>
      <c r="H901" s="1"/>
      <c r="I901" s="1"/>
      <c r="J901" s="1"/>
    </row>
    <row r="902" spans="2:10" ht="13">
      <c r="B902" s="1"/>
      <c r="C902" s="1"/>
      <c r="D902" s="1"/>
      <c r="E902" s="1"/>
      <c r="F902" s="1"/>
      <c r="G902" s="1"/>
      <c r="H902" s="1"/>
      <c r="I902" s="1"/>
      <c r="J902" s="1"/>
    </row>
    <row r="903" spans="2:10" ht="13">
      <c r="B903" s="1"/>
      <c r="C903" s="1"/>
      <c r="D903" s="1"/>
      <c r="E903" s="1"/>
      <c r="F903" s="1"/>
      <c r="G903" s="1"/>
      <c r="H903" s="1"/>
      <c r="I903" s="1"/>
      <c r="J903" s="1"/>
    </row>
    <row r="904" spans="2:10" ht="13">
      <c r="B904" s="1"/>
      <c r="C904" s="1"/>
      <c r="D904" s="1"/>
      <c r="E904" s="1"/>
      <c r="F904" s="1"/>
      <c r="G904" s="1"/>
      <c r="H904" s="1"/>
      <c r="I904" s="1"/>
      <c r="J904" s="1"/>
    </row>
    <row r="905" spans="2:10" ht="13">
      <c r="B905" s="1"/>
      <c r="C905" s="1"/>
      <c r="D905" s="1"/>
      <c r="E905" s="1"/>
      <c r="F905" s="1"/>
      <c r="G905" s="1"/>
      <c r="H905" s="1"/>
      <c r="I905" s="1"/>
      <c r="J905" s="1"/>
    </row>
    <row r="906" spans="2:10" ht="13">
      <c r="B906" s="1"/>
      <c r="C906" s="1"/>
      <c r="D906" s="1"/>
      <c r="E906" s="1"/>
      <c r="F906" s="1"/>
      <c r="G906" s="1"/>
      <c r="H906" s="1"/>
      <c r="I906" s="1"/>
      <c r="J906" s="1"/>
    </row>
    <row r="907" spans="2:10" ht="13">
      <c r="B907" s="1"/>
      <c r="C907" s="1"/>
      <c r="D907" s="1"/>
      <c r="E907" s="1"/>
      <c r="F907" s="1"/>
      <c r="G907" s="1"/>
      <c r="H907" s="1"/>
      <c r="I907" s="1"/>
      <c r="J907" s="1"/>
    </row>
    <row r="908" spans="2:10" ht="13">
      <c r="B908" s="1"/>
      <c r="C908" s="1"/>
      <c r="D908" s="1"/>
      <c r="E908" s="1"/>
      <c r="F908" s="1"/>
      <c r="G908" s="1"/>
      <c r="H908" s="1"/>
      <c r="I908" s="1"/>
      <c r="J908" s="1"/>
    </row>
    <row r="909" spans="2:10" ht="13">
      <c r="B909" s="1"/>
      <c r="C909" s="1"/>
      <c r="D909" s="1"/>
      <c r="E909" s="1"/>
      <c r="F909" s="1"/>
      <c r="G909" s="1"/>
      <c r="H909" s="1"/>
      <c r="I909" s="1"/>
      <c r="J909" s="1"/>
    </row>
    <row r="910" spans="2:10" ht="13">
      <c r="B910" s="1"/>
      <c r="C910" s="1"/>
      <c r="D910" s="1"/>
      <c r="E910" s="1"/>
      <c r="F910" s="1"/>
      <c r="G910" s="1"/>
      <c r="H910" s="1"/>
      <c r="I910" s="1"/>
      <c r="J910" s="1"/>
    </row>
    <row r="911" spans="2:10" ht="13">
      <c r="B911" s="1"/>
      <c r="C911" s="1"/>
      <c r="D911" s="1"/>
      <c r="E911" s="1"/>
      <c r="F911" s="1"/>
      <c r="G911" s="1"/>
      <c r="H911" s="1"/>
      <c r="I911" s="1"/>
      <c r="J911" s="1"/>
    </row>
    <row r="912" spans="2:10" ht="13">
      <c r="B912" s="1"/>
      <c r="C912" s="1"/>
      <c r="D912" s="1"/>
      <c r="E912" s="1"/>
      <c r="F912" s="1"/>
      <c r="G912" s="1"/>
      <c r="H912" s="1"/>
      <c r="I912" s="1"/>
      <c r="J912" s="1"/>
    </row>
    <row r="913" spans="2:10" ht="13">
      <c r="B913" s="1"/>
      <c r="C913" s="1"/>
      <c r="D913" s="1"/>
      <c r="E913" s="1"/>
      <c r="F913" s="1"/>
      <c r="G913" s="1"/>
      <c r="H913" s="1"/>
      <c r="I913" s="1"/>
      <c r="J913" s="1"/>
    </row>
    <row r="914" spans="2:10" ht="13">
      <c r="B914" s="1"/>
      <c r="C914" s="1"/>
      <c r="D914" s="1"/>
      <c r="E914" s="1"/>
      <c r="F914" s="1"/>
      <c r="G914" s="1"/>
      <c r="H914" s="1"/>
      <c r="I914" s="1"/>
      <c r="J914" s="1"/>
    </row>
    <row r="915" spans="2:10" ht="13">
      <c r="B915" s="1"/>
      <c r="C915" s="1"/>
      <c r="D915" s="1"/>
      <c r="E915" s="1"/>
      <c r="F915" s="1"/>
      <c r="G915" s="1"/>
      <c r="H915" s="1"/>
      <c r="I915" s="1"/>
      <c r="J915" s="1"/>
    </row>
    <row r="916" spans="2:10" ht="13">
      <c r="B916" s="1"/>
      <c r="C916" s="1"/>
      <c r="D916" s="1"/>
      <c r="E916" s="1"/>
      <c r="F916" s="1"/>
      <c r="G916" s="1"/>
      <c r="H916" s="1"/>
      <c r="I916" s="1"/>
      <c r="J916" s="1"/>
    </row>
    <row r="917" spans="2:10" ht="13">
      <c r="B917" s="1"/>
      <c r="C917" s="1"/>
      <c r="D917" s="1"/>
      <c r="E917" s="1"/>
      <c r="F917" s="1"/>
      <c r="G917" s="1"/>
      <c r="H917" s="1"/>
      <c r="I917" s="1"/>
      <c r="J917" s="1"/>
    </row>
    <row r="918" spans="2:10" ht="13">
      <c r="B918" s="1"/>
      <c r="C918" s="1"/>
      <c r="D918" s="1"/>
      <c r="E918" s="1"/>
      <c r="F918" s="1"/>
      <c r="G918" s="1"/>
      <c r="H918" s="1"/>
      <c r="I918" s="1"/>
      <c r="J918" s="1"/>
    </row>
    <row r="919" spans="2:10" ht="13">
      <c r="B919" s="1"/>
      <c r="C919" s="1"/>
      <c r="D919" s="1"/>
      <c r="E919" s="1"/>
      <c r="F919" s="1"/>
      <c r="G919" s="1"/>
      <c r="H919" s="1"/>
      <c r="I919" s="1"/>
      <c r="J919" s="1"/>
    </row>
    <row r="920" spans="2:10" ht="13">
      <c r="B920" s="1"/>
      <c r="C920" s="1"/>
      <c r="D920" s="1"/>
      <c r="E920" s="1"/>
      <c r="F920" s="1"/>
      <c r="G920" s="1"/>
      <c r="H920" s="1"/>
      <c r="I920" s="1"/>
      <c r="J920" s="1"/>
    </row>
    <row r="921" spans="2:10" ht="13">
      <c r="B921" s="1"/>
      <c r="C921" s="1"/>
      <c r="D921" s="1"/>
      <c r="E921" s="1"/>
      <c r="F921" s="1"/>
      <c r="G921" s="1"/>
      <c r="H921" s="1"/>
      <c r="I921" s="1"/>
      <c r="J921" s="1"/>
    </row>
    <row r="922" spans="2:10" ht="13">
      <c r="B922" s="1"/>
      <c r="C922" s="1"/>
      <c r="D922" s="1"/>
      <c r="E922" s="1"/>
      <c r="F922" s="1"/>
      <c r="G922" s="1"/>
      <c r="H922" s="1"/>
      <c r="I922" s="1"/>
      <c r="J922" s="1"/>
    </row>
    <row r="923" spans="2:10" ht="13">
      <c r="B923" s="1"/>
      <c r="C923" s="1"/>
      <c r="D923" s="1"/>
      <c r="E923" s="1"/>
      <c r="F923" s="1"/>
      <c r="G923" s="1"/>
      <c r="H923" s="1"/>
      <c r="I923" s="1"/>
      <c r="J923" s="1"/>
    </row>
    <row r="924" spans="2:10" ht="13">
      <c r="B924" s="1"/>
      <c r="C924" s="1"/>
      <c r="D924" s="1"/>
      <c r="E924" s="1"/>
      <c r="F924" s="1"/>
      <c r="G924" s="1"/>
      <c r="H924" s="1"/>
      <c r="I924" s="1"/>
      <c r="J924" s="1"/>
    </row>
    <row r="925" spans="2:10" ht="13">
      <c r="B925" s="1"/>
      <c r="C925" s="1"/>
      <c r="D925" s="1"/>
      <c r="E925" s="1"/>
      <c r="F925" s="1"/>
      <c r="G925" s="1"/>
      <c r="H925" s="1"/>
      <c r="I925" s="1"/>
      <c r="J925" s="1"/>
    </row>
    <row r="926" spans="2:10" ht="13">
      <c r="B926" s="1"/>
      <c r="C926" s="1"/>
      <c r="D926" s="1"/>
      <c r="E926" s="1"/>
      <c r="F926" s="1"/>
      <c r="G926" s="1"/>
      <c r="H926" s="1"/>
      <c r="I926" s="1"/>
      <c r="J926" s="1"/>
    </row>
    <row r="927" spans="2:10" ht="13">
      <c r="B927" s="1"/>
      <c r="C927" s="1"/>
      <c r="D927" s="1"/>
      <c r="E927" s="1"/>
      <c r="F927" s="1"/>
      <c r="G927" s="1"/>
      <c r="H927" s="1"/>
      <c r="I927" s="1"/>
      <c r="J927" s="1"/>
    </row>
    <row r="928" spans="2:10" ht="13">
      <c r="B928" s="1"/>
      <c r="C928" s="1"/>
      <c r="D928" s="1"/>
      <c r="E928" s="1"/>
      <c r="F928" s="1"/>
      <c r="G928" s="1"/>
      <c r="H928" s="1"/>
      <c r="I928" s="1"/>
      <c r="J928" s="1"/>
    </row>
    <row r="929" spans="2:10" ht="13">
      <c r="B929" s="1"/>
      <c r="C929" s="1"/>
      <c r="D929" s="1"/>
      <c r="E929" s="1"/>
      <c r="F929" s="1"/>
      <c r="G929" s="1"/>
      <c r="H929" s="1"/>
      <c r="I929" s="1"/>
      <c r="J929" s="1"/>
    </row>
    <row r="930" spans="2:10" ht="13">
      <c r="B930" s="1"/>
      <c r="C930" s="1"/>
      <c r="D930" s="1"/>
      <c r="E930" s="1"/>
      <c r="F930" s="1"/>
      <c r="G930" s="1"/>
      <c r="H930" s="1"/>
      <c r="I930" s="1"/>
      <c r="J930" s="1"/>
    </row>
    <row r="931" spans="2:10" ht="13">
      <c r="B931" s="1"/>
      <c r="C931" s="1"/>
      <c r="D931" s="1"/>
      <c r="E931" s="1"/>
      <c r="F931" s="1"/>
      <c r="G931" s="1"/>
      <c r="H931" s="1"/>
      <c r="I931" s="1"/>
      <c r="J931" s="1"/>
    </row>
    <row r="932" spans="2:10" ht="13">
      <c r="B932" s="1"/>
      <c r="C932" s="1"/>
      <c r="D932" s="1"/>
      <c r="E932" s="1"/>
      <c r="F932" s="1"/>
      <c r="G932" s="1"/>
      <c r="H932" s="1"/>
      <c r="I932" s="1"/>
      <c r="J932" s="1"/>
    </row>
    <row r="933" spans="2:10" ht="13">
      <c r="B933" s="1"/>
      <c r="C933" s="1"/>
      <c r="D933" s="1"/>
      <c r="E933" s="1"/>
      <c r="F933" s="1"/>
      <c r="G933" s="1"/>
      <c r="H933" s="1"/>
      <c r="I933" s="1"/>
      <c r="J933" s="1"/>
    </row>
    <row r="934" spans="2:10" ht="13">
      <c r="B934" s="1"/>
      <c r="C934" s="1"/>
      <c r="D934" s="1"/>
      <c r="E934" s="1"/>
      <c r="F934" s="1"/>
      <c r="G934" s="1"/>
      <c r="H934" s="1"/>
      <c r="I934" s="1"/>
      <c r="J934" s="1"/>
    </row>
    <row r="935" spans="2:10" ht="13">
      <c r="B935" s="1"/>
      <c r="C935" s="1"/>
      <c r="D935" s="1"/>
      <c r="E935" s="1"/>
      <c r="F935" s="1"/>
      <c r="G935" s="1"/>
      <c r="H935" s="1"/>
      <c r="I935" s="1"/>
      <c r="J935" s="1"/>
    </row>
    <row r="936" spans="2:10" ht="13">
      <c r="B936" s="1"/>
      <c r="C936" s="1"/>
      <c r="D936" s="1"/>
      <c r="E936" s="1"/>
      <c r="F936" s="1"/>
      <c r="G936" s="1"/>
      <c r="H936" s="1"/>
      <c r="I936" s="1"/>
      <c r="J936" s="1"/>
    </row>
    <row r="937" spans="2:10" ht="13">
      <c r="B937" s="1"/>
      <c r="C937" s="1"/>
      <c r="D937" s="1"/>
      <c r="E937" s="1"/>
      <c r="F937" s="1"/>
      <c r="G937" s="1"/>
      <c r="H937" s="1"/>
      <c r="I937" s="1"/>
      <c r="J937" s="1"/>
    </row>
    <row r="938" spans="2:10" ht="13">
      <c r="B938" s="1"/>
      <c r="C938" s="1"/>
      <c r="D938" s="1"/>
      <c r="E938" s="1"/>
      <c r="F938" s="1"/>
      <c r="G938" s="1"/>
      <c r="H938" s="1"/>
      <c r="I938" s="1"/>
      <c r="J938" s="1"/>
    </row>
    <row r="939" spans="2:10" ht="13">
      <c r="B939" s="1"/>
      <c r="C939" s="1"/>
      <c r="D939" s="1"/>
      <c r="E939" s="1"/>
      <c r="F939" s="1"/>
      <c r="G939" s="1"/>
      <c r="H939" s="1"/>
      <c r="I939" s="1"/>
      <c r="J939" s="1"/>
    </row>
    <row r="940" spans="2:10" ht="13">
      <c r="B940" s="1"/>
      <c r="C940" s="1"/>
      <c r="D940" s="1"/>
      <c r="E940" s="1"/>
      <c r="F940" s="1"/>
      <c r="G940" s="1"/>
      <c r="H940" s="1"/>
      <c r="I940" s="1"/>
      <c r="J940" s="1"/>
    </row>
    <row r="941" spans="2:10" ht="13">
      <c r="B941" s="1"/>
      <c r="C941" s="1"/>
      <c r="D941" s="1"/>
      <c r="E941" s="1"/>
      <c r="F941" s="1"/>
      <c r="G941" s="1"/>
      <c r="H941" s="1"/>
      <c r="I941" s="1"/>
      <c r="J941" s="1"/>
    </row>
    <row r="942" spans="2:10" ht="13">
      <c r="B942" s="1"/>
      <c r="C942" s="1"/>
      <c r="D942" s="1"/>
      <c r="E942" s="1"/>
      <c r="F942" s="1"/>
      <c r="G942" s="1"/>
      <c r="H942" s="1"/>
      <c r="I942" s="1"/>
      <c r="J942" s="1"/>
    </row>
    <row r="943" spans="2:10" ht="13">
      <c r="B943" s="1"/>
      <c r="C943" s="1"/>
      <c r="D943" s="1"/>
      <c r="E943" s="1"/>
      <c r="F943" s="1"/>
      <c r="G943" s="1"/>
      <c r="H943" s="1"/>
      <c r="I943" s="1"/>
      <c r="J943" s="1"/>
    </row>
    <row r="944" spans="2:10" ht="13">
      <c r="B944" s="1"/>
      <c r="C944" s="1"/>
      <c r="D944" s="1"/>
      <c r="E944" s="1"/>
      <c r="F944" s="1"/>
      <c r="G944" s="1"/>
      <c r="H944" s="1"/>
      <c r="I944" s="1"/>
      <c r="J944" s="1"/>
    </row>
    <row r="945" spans="2:10" ht="13">
      <c r="B945" s="1"/>
      <c r="C945" s="1"/>
      <c r="D945" s="1"/>
      <c r="E945" s="1"/>
      <c r="F945" s="1"/>
      <c r="G945" s="1"/>
      <c r="H945" s="1"/>
      <c r="I945" s="1"/>
      <c r="J945" s="1"/>
    </row>
    <row r="946" spans="2:10" ht="13">
      <c r="B946" s="1"/>
      <c r="C946" s="1"/>
      <c r="D946" s="1"/>
      <c r="E946" s="1"/>
      <c r="F946" s="1"/>
      <c r="G946" s="1"/>
      <c r="H946" s="1"/>
      <c r="I946" s="1"/>
      <c r="J946" s="1"/>
    </row>
    <row r="947" spans="2:10" ht="13">
      <c r="B947" s="1"/>
      <c r="C947" s="1"/>
      <c r="D947" s="1"/>
      <c r="E947" s="1"/>
      <c r="F947" s="1"/>
      <c r="G947" s="1"/>
      <c r="H947" s="1"/>
      <c r="I947" s="1"/>
      <c r="J947" s="1"/>
    </row>
    <row r="948" spans="2:10" ht="13">
      <c r="B948" s="1"/>
      <c r="C948" s="1"/>
      <c r="D948" s="1"/>
      <c r="E948" s="1"/>
      <c r="F948" s="1"/>
      <c r="G948" s="1"/>
      <c r="H948" s="1"/>
      <c r="I948" s="1"/>
      <c r="J948" s="1"/>
    </row>
    <row r="949" spans="2:10" ht="13">
      <c r="B949" s="1"/>
      <c r="C949" s="1"/>
      <c r="D949" s="1"/>
      <c r="E949" s="1"/>
      <c r="F949" s="1"/>
      <c r="G949" s="1"/>
      <c r="H949" s="1"/>
      <c r="I949" s="1"/>
      <c r="J949" s="1"/>
    </row>
    <row r="950" spans="2:10" ht="13">
      <c r="B950" s="1"/>
      <c r="C950" s="1"/>
      <c r="D950" s="1"/>
      <c r="E950" s="1"/>
      <c r="F950" s="1"/>
      <c r="G950" s="1"/>
      <c r="H950" s="1"/>
      <c r="I950" s="1"/>
      <c r="J950" s="1"/>
    </row>
    <row r="951" spans="2:10" ht="13">
      <c r="B951" s="1"/>
      <c r="C951" s="1"/>
      <c r="D951" s="1"/>
      <c r="E951" s="1"/>
      <c r="F951" s="1"/>
      <c r="G951" s="1"/>
      <c r="H951" s="1"/>
      <c r="I951" s="1"/>
      <c r="J951" s="1"/>
    </row>
    <row r="952" spans="2:10" ht="13">
      <c r="B952" s="1"/>
      <c r="C952" s="1"/>
      <c r="D952" s="1"/>
      <c r="E952" s="1"/>
      <c r="F952" s="1"/>
      <c r="G952" s="1"/>
      <c r="H952" s="1"/>
      <c r="I952" s="1"/>
      <c r="J952" s="1"/>
    </row>
    <row r="953" spans="2:10" ht="13">
      <c r="B953" s="1"/>
      <c r="C953" s="1"/>
      <c r="D953" s="1"/>
      <c r="E953" s="1"/>
      <c r="F953" s="1"/>
      <c r="G953" s="1"/>
      <c r="H953" s="1"/>
      <c r="I953" s="1"/>
      <c r="J953" s="1"/>
    </row>
    <row r="954" spans="2:10" ht="13">
      <c r="B954" s="1"/>
      <c r="C954" s="1"/>
      <c r="D954" s="1"/>
      <c r="E954" s="1"/>
      <c r="F954" s="1"/>
      <c r="G954" s="1"/>
      <c r="H954" s="1"/>
      <c r="I954" s="1"/>
      <c r="J954" s="1"/>
    </row>
    <row r="955" spans="2:10" ht="13">
      <c r="B955" s="1"/>
      <c r="C955" s="1"/>
      <c r="D955" s="1"/>
      <c r="E955" s="1"/>
      <c r="F955" s="1"/>
      <c r="G955" s="1"/>
      <c r="H955" s="1"/>
      <c r="I955" s="1"/>
      <c r="J955" s="1"/>
    </row>
    <row r="956" spans="2:10" ht="13">
      <c r="B956" s="1"/>
      <c r="C956" s="1"/>
      <c r="D956" s="1"/>
      <c r="E956" s="1"/>
      <c r="F956" s="1"/>
      <c r="G956" s="1"/>
      <c r="H956" s="1"/>
      <c r="I956" s="1"/>
      <c r="J956" s="1"/>
    </row>
    <row r="957" spans="2:10" ht="13">
      <c r="B957" s="1"/>
      <c r="C957" s="1"/>
      <c r="D957" s="1"/>
      <c r="E957" s="1"/>
      <c r="F957" s="1"/>
      <c r="G957" s="1"/>
      <c r="H957" s="1"/>
      <c r="I957" s="1"/>
      <c r="J957" s="1"/>
    </row>
    <row r="958" spans="2:10" ht="13">
      <c r="B958" s="1"/>
      <c r="C958" s="1"/>
      <c r="D958" s="1"/>
      <c r="E958" s="1"/>
      <c r="F958" s="1"/>
      <c r="G958" s="1"/>
      <c r="H958" s="1"/>
      <c r="I958" s="1"/>
      <c r="J958" s="1"/>
    </row>
    <row r="959" spans="2:10" ht="15.75" customHeight="1">
      <c r="B959" s="1"/>
      <c r="C959" s="1"/>
      <c r="D959" s="1"/>
      <c r="E959" s="1"/>
      <c r="F959" s="1"/>
      <c r="G959" s="1"/>
      <c r="H959" s="1"/>
    </row>
    <row r="960" spans="2:10" ht="15.75" customHeight="1">
      <c r="B960" s="1"/>
      <c r="C960" s="1"/>
      <c r="D960" s="1"/>
      <c r="E960" s="1"/>
      <c r="F960" s="1"/>
      <c r="G960" s="1"/>
      <c r="H960" s="1"/>
    </row>
    <row r="961" spans="2:8" ht="15.75" customHeight="1">
      <c r="B961" s="1"/>
      <c r="C961" s="1"/>
      <c r="D961" s="1"/>
      <c r="E961" s="1"/>
      <c r="F961" s="1"/>
      <c r="G961" s="1"/>
      <c r="H961" s="1"/>
    </row>
    <row r="962" spans="2:8" ht="15.75" customHeight="1">
      <c r="B962" s="1"/>
      <c r="C962" s="1"/>
      <c r="D962" s="1"/>
      <c r="E962" s="1"/>
      <c r="F962" s="1"/>
      <c r="G962" s="1"/>
      <c r="H962" s="1"/>
    </row>
    <row r="963" spans="2:8" ht="15.75" customHeight="1">
      <c r="B963" s="1"/>
      <c r="C963" s="1"/>
      <c r="D963" s="1"/>
      <c r="E963" s="1"/>
      <c r="F963" s="1"/>
      <c r="G963" s="1"/>
      <c r="H963" s="1"/>
    </row>
    <row r="964" spans="2:8" ht="15.75" customHeight="1">
      <c r="B964" s="1"/>
      <c r="C964" s="1"/>
      <c r="D964" s="1"/>
      <c r="E964" s="1"/>
      <c r="F964" s="1"/>
      <c r="G964" s="1"/>
      <c r="H964" s="1"/>
    </row>
    <row r="965" spans="2:8" ht="15.75" customHeight="1">
      <c r="B965" s="1"/>
      <c r="C965" s="1"/>
      <c r="D965" s="1"/>
      <c r="E965" s="1"/>
      <c r="F965" s="1"/>
    </row>
    <row r="966" spans="2:8" ht="15.75" customHeight="1">
      <c r="B966" s="1"/>
      <c r="C966" s="1"/>
      <c r="D966" s="1"/>
      <c r="E966" s="1"/>
      <c r="F966" s="1"/>
    </row>
    <row r="967" spans="2:8" ht="15.75" customHeight="1">
      <c r="B967" s="1"/>
      <c r="C967" s="1"/>
    </row>
    <row r="968" spans="2:8" ht="15.75" customHeight="1">
      <c r="B968" s="1"/>
      <c r="C968" s="1"/>
    </row>
    <row r="969" spans="2:8" ht="15.75" customHeight="1">
      <c r="B969" s="1"/>
      <c r="C969" s="1"/>
    </row>
    <row r="970" spans="2:8" ht="15.75" customHeight="1">
      <c r="C970" s="1"/>
    </row>
    <row r="971" spans="2:8" ht="15.75" customHeight="1">
      <c r="C971" s="1"/>
    </row>
  </sheetData>
  <mergeCells count="22">
    <mergeCell ref="B56:C56"/>
    <mergeCell ref="E73:F73"/>
    <mergeCell ref="E68:F68"/>
    <mergeCell ref="E69:F69"/>
    <mergeCell ref="E71:F71"/>
    <mergeCell ref="E70:F70"/>
    <mergeCell ref="E72:F72"/>
    <mergeCell ref="E64:F64"/>
    <mergeCell ref="E65:F65"/>
    <mergeCell ref="E66:F66"/>
    <mergeCell ref="E67:F67"/>
    <mergeCell ref="C30:D30"/>
    <mergeCell ref="C31:D34"/>
    <mergeCell ref="B107:F107"/>
    <mergeCell ref="B108:F108"/>
    <mergeCell ref="B109:F109"/>
    <mergeCell ref="B110:F110"/>
    <mergeCell ref="B101:F102"/>
    <mergeCell ref="B103:F103"/>
    <mergeCell ref="B104:F104"/>
    <mergeCell ref="B105:F105"/>
    <mergeCell ref="B106:F106"/>
  </mergeCells>
  <phoneticPr fontId="4" type="noConversion"/>
  <conditionalFormatting sqref="D5">
    <cfRule type="containsText" dxfId="29" priority="37" operator="containsText" text="HIGH">
      <formula>NOT(ISERROR(SEARCH("HIGH",D5)))</formula>
    </cfRule>
    <cfRule type="containsText" dxfId="28" priority="38" operator="containsText" text="MEDIUM">
      <formula>NOT(ISERROR(SEARCH("MEDIUM",D5)))</formula>
    </cfRule>
    <cfRule type="containsText" dxfId="27" priority="39" operator="containsText" text="LOW">
      <formula>NOT(ISERROR(SEARCH("LOW",D5)))</formula>
    </cfRule>
  </conditionalFormatting>
  <conditionalFormatting sqref="D8">
    <cfRule type="containsText" dxfId="26" priority="4" operator="containsText" text="HIGH">
      <formula>NOT(ISERROR(SEARCH("HIGH",D8)))</formula>
    </cfRule>
    <cfRule type="containsText" dxfId="25" priority="5" operator="containsText" text="MEDIUM">
      <formula>NOT(ISERROR(SEARCH("MEDIUM",D8)))</formula>
    </cfRule>
    <cfRule type="containsText" dxfId="24" priority="6" operator="containsText" text="LOW">
      <formula>NOT(ISERROR(SEARCH("LOW",D8)))</formula>
    </cfRule>
  </conditionalFormatting>
  <conditionalFormatting sqref="D11">
    <cfRule type="containsText" dxfId="23" priority="1" operator="containsText" text="HIGH">
      <formula>NOT(ISERROR(SEARCH("HIGH",D11)))</formula>
    </cfRule>
    <cfRule type="containsText" dxfId="22" priority="2" operator="containsText" text="MEDIUM">
      <formula>NOT(ISERROR(SEARCH("MEDIUM",D11)))</formula>
    </cfRule>
    <cfRule type="containsText" dxfId="21" priority="3" operator="containsText" text="LOW">
      <formula>NOT(ISERROR(SEARCH("LOW",D11)))</formula>
    </cfRule>
  </conditionalFormatting>
  <conditionalFormatting sqref="G56:H57">
    <cfRule type="containsText" dxfId="20" priority="34" operator="containsText" text="HIGH">
      <formula>NOT(ISERROR(SEARCH("HIGH",G56)))</formula>
    </cfRule>
    <cfRule type="containsText" dxfId="19" priority="35" operator="containsText" text="MEDIUM">
      <formula>NOT(ISERROR(SEARCH("MEDIUM",G56)))</formula>
    </cfRule>
    <cfRule type="containsText" dxfId="18" priority="36" operator="containsText" text="LOW">
      <formula>NOT(ISERROR(SEARCH("LOW",G56)))</formula>
    </cfRule>
  </conditionalFormatting>
  <dataValidations count="4">
    <dataValidation type="list" allowBlank="1" showInputMessage="1" showErrorMessage="1" sqref="D11 G56:H57" xr:uid="{00000000-0002-0000-0000-000000000000}">
      <formula1>$J$5:$J$7</formula1>
    </dataValidation>
    <dataValidation type="list" allowBlank="1" showInputMessage="1" showErrorMessage="1" sqref="C11" xr:uid="{70703305-706D-FB4F-9AE4-B0C05234735B}">
      <formula1>"Single Family Dwelling, Multi-Family Dwelling, High rise apartment block, Terraced/ Row House, Historic Building"</formula1>
    </dataValidation>
    <dataValidation type="list" allowBlank="1" showInputMessage="1" showErrorMessage="1" sqref="E11" xr:uid="{324327EF-A103-674F-81BB-1316F02A69A7}">
      <formula1>"&lt;100.000 , 100.000-500.000, 500.000-1.000.000, 1.000.000-2.000.000,&gt;2.000.000"</formula1>
    </dataValidation>
    <dataValidation type="list" allowBlank="1" showInputMessage="1" showErrorMessage="1" sqref="G11:H11" xr:uid="{2D5208EA-DB37-1344-97D8-38C340BF33AA}">
      <formula1>"&lt;500 , 500-1.000 , 1.000-2.000, 2.000-5.000, 5.000-10.000, 10.000-20.000, &gt;20.000"</formula1>
    </dataValidation>
  </dataValidations>
  <printOptions horizontalCentered="1"/>
  <pageMargins left="0.25" right="0.25" top="0.75" bottom="0.75" header="0.3" footer="0.3"/>
  <pageSetup scale="38" fitToHeight="0" orientation="landscape"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6" r:id="rId3" name="Group Box 2">
              <controlPr defaultSize="0" autoFill="0" autoPict="0">
                <anchor moveWithCells="1">
                  <from>
                    <xdr:col>2</xdr:col>
                    <xdr:colOff>0</xdr:colOff>
                    <xdr:row>3</xdr:row>
                    <xdr:rowOff>215900</xdr:rowOff>
                  </from>
                  <to>
                    <xdr:col>2</xdr:col>
                    <xdr:colOff>4572000</xdr:colOff>
                    <xdr:row>5</xdr:row>
                    <xdr:rowOff>88900</xdr:rowOff>
                  </to>
                </anchor>
              </controlPr>
            </control>
          </mc:Choice>
        </mc:AlternateContent>
        <mc:AlternateContent xmlns:mc="http://schemas.openxmlformats.org/markup-compatibility/2006">
          <mc:Choice Requires="x14">
            <control shapeId="1029" r:id="rId4" name="Group Box 5">
              <controlPr defaultSize="0" autoFill="0" autoPict="0">
                <anchor moveWithCells="1">
                  <from>
                    <xdr:col>3</xdr:col>
                    <xdr:colOff>50800</xdr:colOff>
                    <xdr:row>3</xdr:row>
                    <xdr:rowOff>215900</xdr:rowOff>
                  </from>
                  <to>
                    <xdr:col>3</xdr:col>
                    <xdr:colOff>1308100</xdr:colOff>
                    <xdr:row>4</xdr:row>
                    <xdr:rowOff>241300</xdr:rowOff>
                  </to>
                </anchor>
              </controlPr>
            </control>
          </mc:Choice>
        </mc:AlternateContent>
        <mc:AlternateContent xmlns:mc="http://schemas.openxmlformats.org/markup-compatibility/2006">
          <mc:Choice Requires="x14">
            <control shapeId="1030" r:id="rId5" name="Group Box 6">
              <controlPr defaultSize="0" autoFill="0" autoPict="0">
                <anchor moveWithCells="1">
                  <from>
                    <xdr:col>3</xdr:col>
                    <xdr:colOff>1371600</xdr:colOff>
                    <xdr:row>3</xdr:row>
                    <xdr:rowOff>215900</xdr:rowOff>
                  </from>
                  <to>
                    <xdr:col>4</xdr:col>
                    <xdr:colOff>1422400</xdr:colOff>
                    <xdr:row>4</xdr:row>
                    <xdr:rowOff>241300</xdr:rowOff>
                  </to>
                </anchor>
              </controlPr>
            </control>
          </mc:Choice>
        </mc:AlternateContent>
        <mc:AlternateContent xmlns:mc="http://schemas.openxmlformats.org/markup-compatibility/2006">
          <mc:Choice Requires="x14">
            <control shapeId="1031" r:id="rId6" name="Group Box 7">
              <controlPr defaultSize="0" autoFill="0" autoPict="0">
                <anchor moveWithCells="1">
                  <from>
                    <xdr:col>4</xdr:col>
                    <xdr:colOff>1485900</xdr:colOff>
                    <xdr:row>3</xdr:row>
                    <xdr:rowOff>215900</xdr:rowOff>
                  </from>
                  <to>
                    <xdr:col>5</xdr:col>
                    <xdr:colOff>4051300</xdr:colOff>
                    <xdr:row>4</xdr:row>
                    <xdr:rowOff>241300</xdr:rowOff>
                  </to>
                </anchor>
              </controlPr>
            </control>
          </mc:Choice>
        </mc:AlternateContent>
        <mc:AlternateContent xmlns:mc="http://schemas.openxmlformats.org/markup-compatibility/2006">
          <mc:Choice Requires="x14">
            <control shapeId="1032" r:id="rId7" name="Group Box 8">
              <controlPr defaultSize="0" autoFill="0" autoPict="0">
                <anchor moveWithCells="1">
                  <from>
                    <xdr:col>5</xdr:col>
                    <xdr:colOff>4102100</xdr:colOff>
                    <xdr:row>3</xdr:row>
                    <xdr:rowOff>215900</xdr:rowOff>
                  </from>
                  <to>
                    <xdr:col>6</xdr:col>
                    <xdr:colOff>1600200</xdr:colOff>
                    <xdr:row>4</xdr:row>
                    <xdr:rowOff>241300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1</xdr:col>
                    <xdr:colOff>2501900</xdr:colOff>
                    <xdr:row>6</xdr:row>
                    <xdr:rowOff>50800</xdr:rowOff>
                  </from>
                  <to>
                    <xdr:col>2</xdr:col>
                    <xdr:colOff>4203700</xdr:colOff>
                    <xdr:row>8</xdr:row>
                    <xdr:rowOff>12700</xdr:rowOff>
                  </to>
                </anchor>
              </controlPr>
            </control>
          </mc:Choice>
        </mc:AlternateContent>
        <mc:AlternateContent xmlns:mc="http://schemas.openxmlformats.org/markup-compatibility/2006">
          <mc:Choice Requires="x14">
            <control shapeId="1044" r:id="rId9" name="Group Box 20">
              <controlPr defaultSize="0" autoFill="0" autoPict="0">
                <anchor moveWithCells="1">
                  <from>
                    <xdr:col>1</xdr:col>
                    <xdr:colOff>2501900</xdr:colOff>
                    <xdr:row>11</xdr:row>
                    <xdr:rowOff>190500</xdr:rowOff>
                  </from>
                  <to>
                    <xdr:col>2</xdr:col>
                    <xdr:colOff>3111500</xdr:colOff>
                    <xdr:row>13</xdr:row>
                    <xdr:rowOff>50800</xdr:rowOff>
                  </to>
                </anchor>
              </controlPr>
            </control>
          </mc:Choice>
        </mc:AlternateContent>
        <mc:AlternateContent xmlns:mc="http://schemas.openxmlformats.org/markup-compatibility/2006">
          <mc:Choice Requires="x14">
            <control shapeId="1045" r:id="rId10" name="Group Box 21">
              <controlPr defaultSize="0" autoFill="0" autoPict="0">
                <anchor moveWithCells="1">
                  <from>
                    <xdr:col>3</xdr:col>
                    <xdr:colOff>25400</xdr:colOff>
                    <xdr:row>11</xdr:row>
                    <xdr:rowOff>177800</xdr:rowOff>
                  </from>
                  <to>
                    <xdr:col>3</xdr:col>
                    <xdr:colOff>1282700</xdr:colOff>
                    <xdr:row>13</xdr:row>
                    <xdr:rowOff>50800</xdr:rowOff>
                  </to>
                </anchor>
              </controlPr>
            </control>
          </mc:Choice>
        </mc:AlternateContent>
        <mc:AlternateContent xmlns:mc="http://schemas.openxmlformats.org/markup-compatibility/2006">
          <mc:Choice Requires="x14">
            <control shapeId="1046" r:id="rId11" name="Group Box 22">
              <controlPr defaultSize="0" autoFill="0" autoPict="0">
                <anchor moveWithCells="1">
                  <from>
                    <xdr:col>3</xdr:col>
                    <xdr:colOff>1346200</xdr:colOff>
                    <xdr:row>11</xdr:row>
                    <xdr:rowOff>177800</xdr:rowOff>
                  </from>
                  <to>
                    <xdr:col>4</xdr:col>
                    <xdr:colOff>1397000</xdr:colOff>
                    <xdr:row>13</xdr:row>
                    <xdr:rowOff>50800</xdr:rowOff>
                  </to>
                </anchor>
              </controlPr>
            </control>
          </mc:Choice>
        </mc:AlternateContent>
        <mc:AlternateContent xmlns:mc="http://schemas.openxmlformats.org/markup-compatibility/2006">
          <mc:Choice Requires="x14">
            <control shapeId="1047" r:id="rId12" name="Group Box 23">
              <controlPr defaultSize="0" autoFill="0" autoPict="0">
                <anchor moveWithCells="1">
                  <from>
                    <xdr:col>4</xdr:col>
                    <xdr:colOff>1460500</xdr:colOff>
                    <xdr:row>11</xdr:row>
                    <xdr:rowOff>177800</xdr:rowOff>
                  </from>
                  <to>
                    <xdr:col>5</xdr:col>
                    <xdr:colOff>1841500</xdr:colOff>
                    <xdr:row>13</xdr:row>
                    <xdr:rowOff>50800</xdr:rowOff>
                  </to>
                </anchor>
              </controlPr>
            </control>
          </mc:Choice>
        </mc:AlternateContent>
        <mc:AlternateContent xmlns:mc="http://schemas.openxmlformats.org/markup-compatibility/2006">
          <mc:Choice Requires="x14">
            <control shapeId="1049" r:id="rId13" name="Group Box 25">
              <controlPr defaultSize="0" autoFill="0" autoPict="0">
                <anchor moveWithCells="1">
                  <from>
                    <xdr:col>5</xdr:col>
                    <xdr:colOff>1892300</xdr:colOff>
                    <xdr:row>11</xdr:row>
                    <xdr:rowOff>177800</xdr:rowOff>
                  </from>
                  <to>
                    <xdr:col>5</xdr:col>
                    <xdr:colOff>4140200</xdr:colOff>
                    <xdr:row>13</xdr:row>
                    <xdr:rowOff>50800</xdr:rowOff>
                  </to>
                </anchor>
              </controlPr>
            </control>
          </mc:Choice>
        </mc:AlternateContent>
        <mc:AlternateContent xmlns:mc="http://schemas.openxmlformats.org/markup-compatibility/2006">
          <mc:Choice Requires="x14">
            <control shapeId="1050" r:id="rId14" name="Group Box 26">
              <controlPr defaultSize="0" autoFill="0" autoPict="0">
                <anchor moveWithCells="1">
                  <from>
                    <xdr:col>6</xdr:col>
                    <xdr:colOff>0</xdr:colOff>
                    <xdr:row>11</xdr:row>
                    <xdr:rowOff>177800</xdr:rowOff>
                  </from>
                  <to>
                    <xdr:col>7</xdr:col>
                    <xdr:colOff>25400</xdr:colOff>
                    <xdr:row>13</xdr:row>
                    <xdr:rowOff>50800</xdr:rowOff>
                  </to>
                </anchor>
              </controlPr>
            </control>
          </mc:Choice>
        </mc:AlternateContent>
        <mc:AlternateContent xmlns:mc="http://schemas.openxmlformats.org/markup-compatibility/2006">
          <mc:Choice Requires="x14">
            <control shapeId="1061" r:id="rId15" name="Group Box 37">
              <controlPr defaultSize="0" autoFill="0" autoPict="0">
                <anchor moveWithCells="1">
                  <from>
                    <xdr:col>1</xdr:col>
                    <xdr:colOff>0</xdr:colOff>
                    <xdr:row>48</xdr:row>
                    <xdr:rowOff>190500</xdr:rowOff>
                  </from>
                  <to>
                    <xdr:col>3</xdr:col>
                    <xdr:colOff>38100</xdr:colOff>
                    <xdr:row>49</xdr:row>
                    <xdr:rowOff>228600</xdr:rowOff>
                  </to>
                </anchor>
              </controlPr>
            </control>
          </mc:Choice>
        </mc:AlternateContent>
        <mc:AlternateContent xmlns:mc="http://schemas.openxmlformats.org/markup-compatibility/2006">
          <mc:Choice Requires="x14">
            <control shapeId="1062" r:id="rId16" name="Group Box 38">
              <controlPr defaultSize="0" autoFill="0" autoPict="0">
                <anchor moveWithCells="1">
                  <from>
                    <xdr:col>1</xdr:col>
                    <xdr:colOff>12700</xdr:colOff>
                    <xdr:row>51</xdr:row>
                    <xdr:rowOff>152400</xdr:rowOff>
                  </from>
                  <to>
                    <xdr:col>3</xdr:col>
                    <xdr:colOff>25400</xdr:colOff>
                    <xdr:row>53</xdr:row>
                    <xdr:rowOff>0</xdr:rowOff>
                  </to>
                </anchor>
              </controlPr>
            </control>
          </mc:Choice>
        </mc:AlternateContent>
        <mc:AlternateContent xmlns:mc="http://schemas.openxmlformats.org/markup-compatibility/2006">
          <mc:Choice Requires="x14">
            <control shapeId="1063" r:id="rId17" name="Group Box 39">
              <controlPr defaultSize="0" autoFill="0" autoPict="0">
                <anchor moveWithCells="1">
                  <from>
                    <xdr:col>1</xdr:col>
                    <xdr:colOff>12700</xdr:colOff>
                    <xdr:row>58</xdr:row>
                    <xdr:rowOff>254000</xdr:rowOff>
                  </from>
                  <to>
                    <xdr:col>2</xdr:col>
                    <xdr:colOff>4572000</xdr:colOff>
                    <xdr:row>60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2A050-477C-3A48-A259-6B651918BA86}">
  <sheetPr codeName="Sheet2"/>
  <dimension ref="A1:X348"/>
  <sheetViews>
    <sheetView topLeftCell="D1" zoomScaleNormal="100" workbookViewId="0">
      <selection activeCell="Q23" sqref="Q23"/>
    </sheetView>
  </sheetViews>
  <sheetFormatPr baseColWidth="10" defaultColWidth="10.83203125" defaultRowHeight="21"/>
  <cols>
    <col min="1" max="1" width="5.1640625" style="60" customWidth="1"/>
    <col min="2" max="2" width="4.5" style="60" customWidth="1"/>
    <col min="3" max="3" width="3.6640625" style="89" customWidth="1"/>
    <col min="4" max="4" width="37.33203125" style="60" customWidth="1"/>
    <col min="5" max="5" width="179.6640625" style="31" bestFit="1" customWidth="1"/>
    <col min="6" max="6" width="0.6640625" style="60" customWidth="1"/>
    <col min="7" max="7" width="1.1640625" style="60" customWidth="1"/>
    <col min="8" max="8" width="0.6640625" style="60" customWidth="1"/>
    <col min="9" max="9" width="0.33203125" style="60" customWidth="1"/>
    <col min="10" max="10" width="83.6640625" style="111" bestFit="1" customWidth="1"/>
    <col min="11" max="11" width="1.33203125" style="65" customWidth="1"/>
    <col min="12" max="13" width="10.83203125" style="189"/>
    <col min="14" max="15" width="10.83203125" style="187"/>
    <col min="16" max="18" width="10.83203125" style="60"/>
    <col min="19" max="19" width="12" style="60" bestFit="1" customWidth="1"/>
    <col min="20" max="20" width="14.6640625" style="60" bestFit="1" customWidth="1"/>
    <col min="21" max="21" width="19.6640625" style="60" bestFit="1" customWidth="1"/>
    <col min="22" max="22" width="15" style="60" bestFit="1" customWidth="1"/>
    <col min="23" max="23" width="22" style="60" bestFit="1" customWidth="1"/>
    <col min="24" max="16384" width="10.83203125" style="60"/>
  </cols>
  <sheetData>
    <row r="1" spans="1:24" ht="66">
      <c r="B1" s="61"/>
      <c r="C1" s="166"/>
      <c r="D1" s="166"/>
      <c r="E1" s="62"/>
      <c r="F1" s="63"/>
      <c r="G1" s="63"/>
      <c r="H1" s="63"/>
      <c r="I1" s="63"/>
      <c r="J1" s="101"/>
      <c r="L1" s="186"/>
      <c r="M1" s="186"/>
      <c r="S1" s="68"/>
      <c r="T1" s="68"/>
      <c r="U1" s="68"/>
      <c r="V1" s="68"/>
      <c r="W1" s="68"/>
      <c r="X1" s="69" t="s">
        <v>122</v>
      </c>
    </row>
    <row r="2" spans="1:24">
      <c r="B2" s="61"/>
      <c r="C2" s="166"/>
      <c r="D2" s="166"/>
      <c r="E2" s="62"/>
      <c r="F2" s="63"/>
      <c r="G2" s="63"/>
      <c r="H2" s="63"/>
      <c r="I2" s="63"/>
      <c r="J2" s="101"/>
      <c r="L2" s="186"/>
      <c r="M2" s="186"/>
      <c r="P2" s="165"/>
      <c r="Q2" s="165"/>
      <c r="R2" s="165"/>
    </row>
    <row r="3" spans="1:24">
      <c r="B3" s="61"/>
      <c r="C3" s="70"/>
      <c r="D3" s="164"/>
      <c r="E3" s="164"/>
      <c r="F3" s="164"/>
      <c r="G3" s="164"/>
      <c r="H3" s="164"/>
      <c r="I3" s="71"/>
      <c r="J3" s="101"/>
      <c r="L3" s="186" t="s">
        <v>123</v>
      </c>
      <c r="M3" s="186" t="s">
        <v>124</v>
      </c>
      <c r="N3" s="188"/>
      <c r="P3" s="165"/>
      <c r="Q3" s="165"/>
      <c r="R3" s="165"/>
    </row>
    <row r="4" spans="1:24">
      <c r="A4" s="15" t="s">
        <v>86</v>
      </c>
      <c r="C4" s="16"/>
      <c r="D4" s="72"/>
      <c r="E4" s="73"/>
      <c r="F4" s="72"/>
      <c r="G4" s="72"/>
      <c r="H4" s="72"/>
      <c r="I4" s="72"/>
      <c r="J4" s="102"/>
      <c r="L4" s="186"/>
      <c r="M4" s="186"/>
      <c r="O4" s="189"/>
      <c r="P4" s="167"/>
      <c r="Q4" s="167"/>
      <c r="R4" s="167"/>
      <c r="S4" s="74"/>
    </row>
    <row r="5" spans="1:24">
      <c r="B5" s="15"/>
      <c r="C5" s="16"/>
      <c r="D5" s="72"/>
      <c r="E5" s="73"/>
      <c r="F5" s="72"/>
      <c r="G5" s="72"/>
      <c r="H5" s="72"/>
      <c r="I5" s="72"/>
      <c r="J5" s="102"/>
      <c r="O5" s="189"/>
      <c r="P5" s="74"/>
      <c r="Q5" s="74"/>
      <c r="R5" s="74"/>
      <c r="S5" s="74"/>
    </row>
    <row r="6" spans="1:24">
      <c r="B6" s="75">
        <v>1</v>
      </c>
      <c r="C6" s="16" t="s">
        <v>87</v>
      </c>
      <c r="D6" s="15"/>
      <c r="E6" s="76"/>
      <c r="F6" s="74"/>
      <c r="G6" s="74"/>
      <c r="H6" s="74"/>
      <c r="I6" s="74"/>
      <c r="J6" s="103"/>
      <c r="L6" s="189">
        <v>100</v>
      </c>
      <c r="M6" s="189" t="e">
        <f>SUMPRODUCT(K7:K27,L7:L27)/500 *2</f>
        <v>#N/A</v>
      </c>
      <c r="N6" s="189"/>
      <c r="O6" s="190"/>
      <c r="P6" s="75"/>
      <c r="Q6" s="75"/>
      <c r="R6" s="74"/>
      <c r="S6" s="74"/>
    </row>
    <row r="7" spans="1:24">
      <c r="B7" s="17"/>
      <c r="C7" s="15"/>
      <c r="D7" s="77" t="s">
        <v>50</v>
      </c>
      <c r="E7" s="15" t="s">
        <v>88</v>
      </c>
      <c r="F7" s="15"/>
      <c r="G7" s="15"/>
      <c r="H7" s="15"/>
      <c r="I7" s="15"/>
      <c r="J7" s="104"/>
      <c r="K7" s="78" t="e">
        <f>HLOOKUP(J7,E8:J9,2,FALSE)</f>
        <v>#N/A</v>
      </c>
      <c r="L7" s="186" t="e">
        <f>K7*J9</f>
        <v>#N/A</v>
      </c>
      <c r="M7" s="186"/>
      <c r="N7" s="188"/>
      <c r="O7" s="190"/>
      <c r="P7" s="75"/>
      <c r="Q7" s="75"/>
    </row>
    <row r="8" spans="1:24" s="67" customFormat="1" ht="22">
      <c r="B8" s="79"/>
      <c r="C8" s="80"/>
      <c r="D8" s="81"/>
      <c r="E8" s="80" t="s">
        <v>29</v>
      </c>
      <c r="F8" s="80" t="s">
        <v>51</v>
      </c>
      <c r="G8" s="80" t="s">
        <v>89</v>
      </c>
      <c r="H8" s="80" t="s">
        <v>90</v>
      </c>
      <c r="I8" s="80" t="s">
        <v>125</v>
      </c>
      <c r="J8" s="105" t="s">
        <v>126</v>
      </c>
      <c r="K8" s="78"/>
      <c r="L8" s="186"/>
      <c r="M8" s="186"/>
      <c r="N8" s="188"/>
      <c r="O8" s="190"/>
      <c r="P8" s="78"/>
      <c r="Q8" s="78"/>
    </row>
    <row r="9" spans="1:24" s="67" customFormat="1">
      <c r="B9" s="79"/>
      <c r="C9" s="80"/>
      <c r="D9" s="81"/>
      <c r="E9" s="80">
        <v>0</v>
      </c>
      <c r="F9" s="80">
        <v>1</v>
      </c>
      <c r="G9" s="80">
        <v>2</v>
      </c>
      <c r="H9" s="80">
        <v>3</v>
      </c>
      <c r="I9" s="80">
        <v>4</v>
      </c>
      <c r="J9" s="106">
        <v>5</v>
      </c>
      <c r="K9" s="65"/>
      <c r="L9" s="186"/>
      <c r="M9" s="186"/>
      <c r="N9" s="188"/>
      <c r="O9" s="190"/>
      <c r="P9" s="78"/>
      <c r="Q9" s="78"/>
    </row>
    <row r="10" spans="1:24">
      <c r="B10" s="17"/>
      <c r="C10" s="15"/>
      <c r="D10" s="77"/>
      <c r="E10" s="15"/>
      <c r="F10" s="15"/>
      <c r="G10" s="15"/>
      <c r="H10" s="15"/>
      <c r="I10" s="15"/>
      <c r="J10" s="101"/>
      <c r="L10" s="186"/>
      <c r="M10" s="186"/>
      <c r="N10" s="190"/>
      <c r="O10" s="190"/>
      <c r="P10" s="75"/>
      <c r="Q10" s="75"/>
    </row>
    <row r="11" spans="1:24">
      <c r="B11" s="17"/>
      <c r="C11" s="15"/>
      <c r="D11" s="77" t="s">
        <v>91</v>
      </c>
      <c r="E11" s="15" t="s">
        <v>92</v>
      </c>
      <c r="F11" s="15"/>
      <c r="G11" s="15"/>
      <c r="H11" s="15"/>
      <c r="I11" s="15"/>
      <c r="J11" s="104"/>
      <c r="K11" s="65" t="e">
        <f>HLOOKUP(J11,E12:J13,2,FALSE)</f>
        <v>#N/A</v>
      </c>
      <c r="L11" s="186" t="e">
        <f>K11*J13</f>
        <v>#N/A</v>
      </c>
      <c r="M11" s="186"/>
      <c r="N11" s="188"/>
      <c r="O11" s="190"/>
      <c r="P11" s="75"/>
      <c r="Q11" s="75"/>
    </row>
    <row r="12" spans="1:24" s="67" customFormat="1">
      <c r="B12" s="79"/>
      <c r="C12" s="80"/>
      <c r="D12" s="81"/>
      <c r="E12" s="80" t="s">
        <v>93</v>
      </c>
      <c r="F12" s="80" t="s">
        <v>12</v>
      </c>
      <c r="G12" s="80" t="s">
        <v>13</v>
      </c>
      <c r="H12" s="80" t="s">
        <v>14</v>
      </c>
      <c r="I12" s="80" t="s">
        <v>127</v>
      </c>
      <c r="J12" s="106" t="s">
        <v>128</v>
      </c>
      <c r="K12" s="65"/>
      <c r="L12" s="186"/>
      <c r="M12" s="186"/>
      <c r="N12" s="188"/>
      <c r="O12" s="190"/>
      <c r="P12" s="78"/>
      <c r="Q12" s="78"/>
    </row>
    <row r="13" spans="1:24" s="67" customFormat="1">
      <c r="B13" s="79"/>
      <c r="C13" s="80"/>
      <c r="D13" s="81"/>
      <c r="E13" s="80">
        <v>0</v>
      </c>
      <c r="F13" s="80">
        <v>1</v>
      </c>
      <c r="G13" s="80">
        <v>2</v>
      </c>
      <c r="H13" s="80">
        <v>3</v>
      </c>
      <c r="I13" s="80">
        <v>4</v>
      </c>
      <c r="J13" s="106">
        <v>5</v>
      </c>
      <c r="K13" s="65"/>
      <c r="L13" s="186"/>
      <c r="M13" s="186"/>
      <c r="N13" s="188"/>
      <c r="O13" s="190"/>
      <c r="P13" s="78"/>
      <c r="Q13" s="78"/>
    </row>
    <row r="14" spans="1:24">
      <c r="B14" s="17"/>
      <c r="C14" s="15"/>
      <c r="D14" s="77"/>
      <c r="E14" s="15"/>
      <c r="F14" s="15"/>
      <c r="G14" s="15"/>
      <c r="H14" s="15"/>
      <c r="I14" s="15"/>
      <c r="J14" s="101"/>
      <c r="L14" s="186"/>
      <c r="M14" s="186"/>
      <c r="N14" s="190"/>
      <c r="O14" s="190"/>
      <c r="P14" s="75"/>
      <c r="Q14" s="75"/>
    </row>
    <row r="15" spans="1:24">
      <c r="B15" s="17"/>
      <c r="C15" s="15"/>
      <c r="D15" s="77" t="s">
        <v>91</v>
      </c>
      <c r="E15" s="15" t="s">
        <v>94</v>
      </c>
      <c r="F15" s="15"/>
      <c r="G15" s="15"/>
      <c r="H15" s="15"/>
      <c r="I15" s="15"/>
      <c r="J15" s="104"/>
      <c r="K15" s="65" t="e">
        <f>HLOOKUP(J15,E16:J17,2,FALSE)</f>
        <v>#N/A</v>
      </c>
      <c r="L15" s="186" t="e">
        <f>K15*J17</f>
        <v>#N/A</v>
      </c>
      <c r="M15" s="186"/>
      <c r="N15" s="188"/>
      <c r="O15" s="190"/>
      <c r="P15" s="75"/>
      <c r="Q15" s="75"/>
    </row>
    <row r="16" spans="1:24" s="67" customFormat="1" ht="22">
      <c r="B16" s="79"/>
      <c r="C16" s="80"/>
      <c r="D16" s="81"/>
      <c r="E16" s="80" t="s">
        <v>93</v>
      </c>
      <c r="F16" s="80" t="s">
        <v>95</v>
      </c>
      <c r="G16" s="80" t="s">
        <v>96</v>
      </c>
      <c r="H16" s="80" t="s">
        <v>97</v>
      </c>
      <c r="I16" s="80" t="s">
        <v>27</v>
      </c>
      <c r="J16" s="105" t="s">
        <v>28</v>
      </c>
      <c r="K16" s="65"/>
      <c r="L16" s="186"/>
      <c r="M16" s="186"/>
      <c r="N16" s="188"/>
      <c r="O16" s="190"/>
      <c r="P16" s="78"/>
      <c r="Q16" s="78"/>
    </row>
    <row r="17" spans="2:19" s="67" customFormat="1">
      <c r="B17" s="79"/>
      <c r="C17" s="80"/>
      <c r="D17" s="81"/>
      <c r="E17" s="80">
        <v>0</v>
      </c>
      <c r="F17" s="80">
        <v>1</v>
      </c>
      <c r="G17" s="80">
        <v>2</v>
      </c>
      <c r="H17" s="80">
        <v>3</v>
      </c>
      <c r="I17" s="80">
        <v>4</v>
      </c>
      <c r="J17" s="106">
        <v>5</v>
      </c>
      <c r="K17" s="65"/>
      <c r="L17" s="186"/>
      <c r="M17" s="186"/>
      <c r="N17" s="188"/>
      <c r="O17" s="190"/>
      <c r="P17" s="78"/>
      <c r="Q17" s="78"/>
    </row>
    <row r="18" spans="2:19">
      <c r="B18" s="17"/>
      <c r="C18" s="15"/>
      <c r="D18" s="77"/>
      <c r="E18" s="15"/>
      <c r="F18" s="15"/>
      <c r="G18" s="15"/>
      <c r="H18" s="15"/>
      <c r="I18" s="15"/>
      <c r="J18" s="101"/>
      <c r="L18" s="186"/>
      <c r="M18" s="186"/>
      <c r="N18" s="190"/>
      <c r="O18" s="190"/>
      <c r="P18" s="75"/>
      <c r="Q18" s="75"/>
    </row>
    <row r="19" spans="2:19">
      <c r="B19" s="17"/>
      <c r="C19" s="15"/>
      <c r="D19" s="77" t="s">
        <v>98</v>
      </c>
      <c r="E19" s="15" t="s">
        <v>99</v>
      </c>
      <c r="F19" s="15"/>
      <c r="G19" s="15"/>
      <c r="H19" s="15"/>
      <c r="I19" s="15"/>
      <c r="J19" s="104"/>
      <c r="K19" s="65" t="e">
        <f>HLOOKUP(J19,E20:J21,2,FALSE)</f>
        <v>#N/A</v>
      </c>
      <c r="L19" s="186" t="e">
        <f>K19*J21</f>
        <v>#N/A</v>
      </c>
      <c r="M19" s="186"/>
      <c r="N19" s="188"/>
      <c r="O19" s="190"/>
      <c r="P19" s="75"/>
      <c r="Q19" s="75"/>
    </row>
    <row r="20" spans="2:19" s="67" customFormat="1">
      <c r="B20" s="79"/>
      <c r="C20" s="80"/>
      <c r="D20" s="81"/>
      <c r="E20" s="80" t="s">
        <v>22</v>
      </c>
      <c r="F20" s="80" t="s">
        <v>100</v>
      </c>
      <c r="G20" s="80" t="s">
        <v>101</v>
      </c>
      <c r="H20" s="80" t="s">
        <v>102</v>
      </c>
      <c r="I20" s="80" t="s">
        <v>129</v>
      </c>
      <c r="J20" s="106" t="s">
        <v>130</v>
      </c>
      <c r="K20" s="65"/>
      <c r="L20" s="186"/>
      <c r="M20" s="186"/>
      <c r="N20" s="188"/>
      <c r="O20" s="190"/>
      <c r="P20" s="78"/>
      <c r="Q20" s="78"/>
    </row>
    <row r="21" spans="2:19" s="67" customFormat="1">
      <c r="B21" s="79"/>
      <c r="C21" s="80"/>
      <c r="D21" s="81"/>
      <c r="E21" s="80">
        <v>0</v>
      </c>
      <c r="F21" s="80">
        <v>1</v>
      </c>
      <c r="G21" s="80">
        <v>2</v>
      </c>
      <c r="H21" s="80">
        <v>3</v>
      </c>
      <c r="I21" s="80">
        <v>4</v>
      </c>
      <c r="J21" s="106">
        <v>5</v>
      </c>
      <c r="K21" s="65"/>
      <c r="L21" s="186"/>
      <c r="M21" s="186"/>
      <c r="N21" s="188"/>
      <c r="O21" s="190"/>
      <c r="P21" s="78"/>
      <c r="Q21" s="78"/>
    </row>
    <row r="22" spans="2:19">
      <c r="B22" s="17"/>
      <c r="C22" s="15"/>
      <c r="D22" s="77"/>
      <c r="E22" s="15"/>
      <c r="F22" s="15"/>
      <c r="G22" s="15"/>
      <c r="H22" s="15"/>
      <c r="I22" s="15"/>
      <c r="J22" s="101"/>
      <c r="L22" s="186"/>
      <c r="M22" s="186"/>
      <c r="N22" s="190"/>
      <c r="O22" s="190"/>
      <c r="P22" s="75"/>
      <c r="Q22" s="75"/>
    </row>
    <row r="23" spans="2:19">
      <c r="B23" s="17"/>
      <c r="C23" s="15"/>
      <c r="D23" s="77" t="s">
        <v>61</v>
      </c>
      <c r="E23" s="15" t="s">
        <v>103</v>
      </c>
      <c r="F23" s="15"/>
      <c r="G23" s="15"/>
      <c r="H23" s="15"/>
      <c r="I23" s="15"/>
      <c r="J23" s="104"/>
      <c r="K23" s="65" t="e">
        <f>HLOOKUP(J23,E24:J25,2,FALSE)</f>
        <v>#N/A</v>
      </c>
      <c r="L23" s="186"/>
      <c r="M23" s="186"/>
      <c r="N23" s="188"/>
      <c r="O23" s="190"/>
      <c r="P23" s="75"/>
      <c r="Q23" s="75"/>
    </row>
    <row r="24" spans="2:19" s="67" customFormat="1">
      <c r="B24" s="79"/>
      <c r="C24" s="80"/>
      <c r="D24" s="81"/>
      <c r="E24" s="80" t="s">
        <v>22</v>
      </c>
      <c r="F24" s="80" t="s">
        <v>62</v>
      </c>
      <c r="G24" s="80" t="s">
        <v>104</v>
      </c>
      <c r="H24" s="80" t="s">
        <v>105</v>
      </c>
      <c r="I24" s="80" t="s">
        <v>131</v>
      </c>
      <c r="J24" s="106" t="s">
        <v>132</v>
      </c>
      <c r="K24" s="65"/>
      <c r="L24" s="186"/>
      <c r="M24" s="186"/>
      <c r="N24" s="188"/>
      <c r="O24" s="190"/>
      <c r="P24" s="78"/>
      <c r="Q24" s="78"/>
    </row>
    <row r="25" spans="2:19" s="67" customFormat="1">
      <c r="B25" s="79"/>
      <c r="C25" s="80"/>
      <c r="D25" s="81"/>
      <c r="E25" s="80">
        <v>0</v>
      </c>
      <c r="F25" s="80">
        <v>1</v>
      </c>
      <c r="G25" s="80">
        <v>2</v>
      </c>
      <c r="H25" s="80">
        <v>3</v>
      </c>
      <c r="I25" s="80">
        <v>4</v>
      </c>
      <c r="J25" s="106">
        <v>5</v>
      </c>
      <c r="K25" s="65"/>
      <c r="L25" s="186"/>
      <c r="M25" s="186"/>
      <c r="N25" s="188"/>
      <c r="O25" s="190"/>
      <c r="P25" s="78"/>
      <c r="Q25" s="78"/>
    </row>
    <row r="26" spans="2:19">
      <c r="B26" s="17"/>
      <c r="C26" s="15"/>
      <c r="D26" s="77"/>
      <c r="E26" s="15"/>
      <c r="F26" s="15"/>
      <c r="G26" s="15"/>
      <c r="H26" s="15"/>
      <c r="I26" s="15"/>
      <c r="J26" s="107"/>
      <c r="L26" s="186"/>
      <c r="M26" s="186"/>
      <c r="N26" s="190"/>
      <c r="O26" s="190"/>
      <c r="P26" s="75"/>
      <c r="Q26" s="75"/>
    </row>
    <row r="27" spans="2:19">
      <c r="B27" s="17"/>
      <c r="C27" s="15"/>
      <c r="D27" s="77" t="s">
        <v>65</v>
      </c>
      <c r="E27" s="15" t="s">
        <v>66</v>
      </c>
      <c r="F27" s="15"/>
      <c r="G27" s="15"/>
      <c r="H27" s="15"/>
      <c r="I27" s="15"/>
      <c r="J27" s="104"/>
      <c r="K27" s="65" t="e">
        <f>HLOOKUP(J27,E28:J29,2,FALSE)</f>
        <v>#N/A</v>
      </c>
      <c r="L27" s="186" t="e">
        <f>K27*J29</f>
        <v>#N/A</v>
      </c>
      <c r="M27" s="186"/>
      <c r="N27" s="188"/>
      <c r="O27" s="190"/>
      <c r="P27" s="75"/>
      <c r="Q27" s="75"/>
    </row>
    <row r="28" spans="2:19" s="67" customFormat="1">
      <c r="B28" s="79"/>
      <c r="C28" s="80">
        <v>6</v>
      </c>
      <c r="D28" s="81"/>
      <c r="E28" s="80" t="s">
        <v>22</v>
      </c>
      <c r="F28" s="80" t="s">
        <v>62</v>
      </c>
      <c r="G28" s="80" t="s">
        <v>67</v>
      </c>
      <c r="H28" s="80" t="s">
        <v>106</v>
      </c>
      <c r="I28" s="80" t="s">
        <v>133</v>
      </c>
      <c r="J28" s="106" t="s">
        <v>132</v>
      </c>
      <c r="K28" s="65"/>
      <c r="L28" s="186"/>
      <c r="M28" s="186"/>
      <c r="N28" s="188"/>
      <c r="O28" s="190"/>
      <c r="P28" s="78"/>
      <c r="Q28" s="78"/>
    </row>
    <row r="29" spans="2:19" s="67" customFormat="1">
      <c r="B29" s="81"/>
      <c r="C29" s="82"/>
      <c r="D29" s="81"/>
      <c r="E29" s="80">
        <v>0</v>
      </c>
      <c r="F29" s="80">
        <v>1</v>
      </c>
      <c r="G29" s="80">
        <v>2</v>
      </c>
      <c r="H29" s="80">
        <v>3</v>
      </c>
      <c r="I29" s="80">
        <v>4</v>
      </c>
      <c r="J29" s="106">
        <v>5</v>
      </c>
      <c r="K29" s="65"/>
      <c r="L29" s="186"/>
      <c r="M29" s="186"/>
      <c r="N29" s="188"/>
      <c r="O29" s="190"/>
      <c r="P29" s="78"/>
      <c r="Q29" s="78"/>
    </row>
    <row r="30" spans="2:19">
      <c r="B30" s="77"/>
      <c r="C30" s="16"/>
      <c r="D30" s="77"/>
      <c r="E30" s="15"/>
      <c r="F30" s="15"/>
      <c r="G30" s="15"/>
      <c r="H30" s="15"/>
      <c r="I30" s="15"/>
      <c r="J30" s="107"/>
      <c r="L30" s="186"/>
      <c r="M30" s="186"/>
      <c r="N30" s="190"/>
      <c r="O30" s="190"/>
      <c r="P30" s="75"/>
      <c r="Q30" s="75"/>
    </row>
    <row r="31" spans="2:19">
      <c r="B31" s="77">
        <v>2</v>
      </c>
      <c r="C31" s="16" t="s">
        <v>107</v>
      </c>
      <c r="D31" s="77"/>
      <c r="E31" s="15"/>
      <c r="F31" s="15"/>
      <c r="G31" s="15"/>
      <c r="H31" s="15"/>
      <c r="I31" s="15"/>
      <c r="J31" s="103"/>
      <c r="L31" s="189">
        <v>100</v>
      </c>
      <c r="M31" s="189" t="e">
        <f>SUMPRODUCT(K32:K40,L32:L40)/500 *3.3</f>
        <v>#N/A</v>
      </c>
      <c r="N31" s="189"/>
      <c r="O31" s="190"/>
      <c r="P31" s="75"/>
      <c r="Q31" s="75"/>
      <c r="R31" s="74"/>
      <c r="S31" s="74"/>
    </row>
    <row r="32" spans="2:19">
      <c r="B32" s="17"/>
      <c r="C32" s="15"/>
      <c r="D32" s="77" t="s">
        <v>108</v>
      </c>
      <c r="E32" s="15" t="s">
        <v>316</v>
      </c>
      <c r="F32" s="15"/>
      <c r="G32" s="15"/>
      <c r="H32" s="15"/>
      <c r="I32" s="15"/>
      <c r="J32" s="104"/>
      <c r="K32" s="65" t="e">
        <f>HLOOKUP(J32,E33:J34,2,FALSE)</f>
        <v>#N/A</v>
      </c>
      <c r="L32" s="186" t="e">
        <f>J34*K32</f>
        <v>#N/A</v>
      </c>
      <c r="M32" s="186"/>
      <c r="N32" s="188"/>
      <c r="O32" s="190"/>
      <c r="P32" s="75"/>
      <c r="Q32" s="75"/>
    </row>
    <row r="33" spans="2:19" s="67" customFormat="1">
      <c r="B33" s="79"/>
      <c r="C33" s="80"/>
      <c r="D33" s="81"/>
      <c r="E33" s="80" t="s">
        <v>9</v>
      </c>
      <c r="F33" s="80" t="s">
        <v>109</v>
      </c>
      <c r="G33" s="80" t="s">
        <v>41</v>
      </c>
      <c r="H33" s="80" t="s">
        <v>110</v>
      </c>
      <c r="I33" s="80" t="s">
        <v>37</v>
      </c>
      <c r="J33" s="106" t="s">
        <v>11</v>
      </c>
      <c r="K33" s="65"/>
      <c r="L33" s="186"/>
      <c r="M33" s="186"/>
      <c r="N33" s="188"/>
      <c r="O33" s="190"/>
      <c r="P33" s="78"/>
      <c r="Q33" s="78"/>
    </row>
    <row r="34" spans="2:19" s="67" customFormat="1">
      <c r="B34" s="79"/>
      <c r="C34" s="80"/>
      <c r="D34" s="81"/>
      <c r="E34" s="80">
        <v>0</v>
      </c>
      <c r="F34" s="80">
        <v>1</v>
      </c>
      <c r="G34" s="80">
        <v>2</v>
      </c>
      <c r="H34" s="80">
        <v>3</v>
      </c>
      <c r="I34" s="80">
        <v>4</v>
      </c>
      <c r="J34" s="106">
        <v>5</v>
      </c>
      <c r="K34" s="65"/>
      <c r="L34" s="186"/>
      <c r="M34" s="186"/>
      <c r="N34" s="188"/>
      <c r="O34" s="190"/>
      <c r="P34" s="78"/>
      <c r="Q34" s="78"/>
    </row>
    <row r="35" spans="2:19">
      <c r="B35" s="17"/>
      <c r="C35" s="15"/>
      <c r="D35" s="77"/>
      <c r="E35" s="15"/>
      <c r="F35" s="15"/>
      <c r="G35" s="15"/>
      <c r="H35" s="15"/>
      <c r="I35" s="15"/>
      <c r="J35" s="107"/>
      <c r="L35" s="186"/>
      <c r="M35" s="186"/>
      <c r="N35" s="188"/>
      <c r="O35" s="190"/>
      <c r="P35" s="75"/>
      <c r="Q35" s="75"/>
    </row>
    <row r="36" spans="2:19">
      <c r="B36" s="17"/>
      <c r="C36" s="15"/>
      <c r="D36" s="77" t="s">
        <v>54</v>
      </c>
      <c r="E36" s="15" t="s">
        <v>317</v>
      </c>
      <c r="F36" s="15"/>
      <c r="G36" s="15"/>
      <c r="H36" s="15"/>
      <c r="I36" s="15"/>
      <c r="J36" s="104"/>
      <c r="K36" s="65" t="e">
        <f>HLOOKUP(J36,E37:J38,2,FALSE)</f>
        <v>#N/A</v>
      </c>
      <c r="L36" s="186" t="e">
        <f>J38*K36</f>
        <v>#N/A</v>
      </c>
      <c r="M36" s="186"/>
      <c r="N36" s="188"/>
      <c r="O36" s="190"/>
      <c r="P36" s="75"/>
      <c r="Q36" s="75"/>
    </row>
    <row r="37" spans="2:19" s="67" customFormat="1">
      <c r="B37" s="79"/>
      <c r="C37" s="80"/>
      <c r="D37" s="81"/>
      <c r="E37" s="80" t="s">
        <v>9</v>
      </c>
      <c r="F37" s="80" t="s">
        <v>109</v>
      </c>
      <c r="G37" s="80" t="s">
        <v>41</v>
      </c>
      <c r="H37" s="80" t="s">
        <v>111</v>
      </c>
      <c r="I37" s="80" t="s">
        <v>134</v>
      </c>
      <c r="J37" s="106" t="s">
        <v>11</v>
      </c>
      <c r="K37" s="65"/>
      <c r="L37" s="186"/>
      <c r="M37" s="186"/>
      <c r="N37" s="188"/>
      <c r="O37" s="190"/>
      <c r="P37" s="78"/>
      <c r="Q37" s="78"/>
    </row>
    <row r="38" spans="2:19" s="67" customFormat="1">
      <c r="B38" s="79"/>
      <c r="C38" s="80"/>
      <c r="D38" s="81"/>
      <c r="E38" s="80">
        <v>0</v>
      </c>
      <c r="F38" s="80">
        <v>1</v>
      </c>
      <c r="G38" s="80">
        <v>2</v>
      </c>
      <c r="H38" s="80">
        <v>3</v>
      </c>
      <c r="I38" s="80">
        <v>4</v>
      </c>
      <c r="J38" s="106">
        <v>5</v>
      </c>
      <c r="K38" s="65"/>
      <c r="L38" s="186"/>
      <c r="M38" s="186"/>
      <c r="N38" s="188"/>
      <c r="O38" s="190"/>
      <c r="P38" s="78"/>
      <c r="Q38" s="78"/>
    </row>
    <row r="39" spans="2:19">
      <c r="B39" s="17"/>
      <c r="C39" s="15"/>
      <c r="D39" s="77"/>
      <c r="E39" s="15"/>
      <c r="F39" s="15"/>
      <c r="G39" s="15"/>
      <c r="H39" s="15"/>
      <c r="I39" s="15"/>
      <c r="J39" s="107"/>
      <c r="L39" s="186"/>
      <c r="M39" s="186"/>
      <c r="N39" s="190"/>
      <c r="O39" s="190"/>
      <c r="P39" s="75"/>
      <c r="Q39" s="75"/>
    </row>
    <row r="40" spans="2:19">
      <c r="B40" s="17"/>
      <c r="C40" s="15"/>
      <c r="D40" s="77" t="s">
        <v>54</v>
      </c>
      <c r="E40" s="15" t="s">
        <v>112</v>
      </c>
      <c r="F40" s="15"/>
      <c r="G40" s="15"/>
      <c r="H40" s="15"/>
      <c r="I40" s="15"/>
      <c r="J40" s="104"/>
      <c r="K40" s="65" t="e">
        <f>HLOOKUP(J40,E41:J42,2,FALSE)</f>
        <v>#N/A</v>
      </c>
      <c r="L40" s="186" t="e">
        <f>J42*K40</f>
        <v>#N/A</v>
      </c>
      <c r="M40" s="186"/>
      <c r="N40" s="188"/>
      <c r="O40" s="190"/>
      <c r="P40" s="75"/>
      <c r="Q40" s="75"/>
    </row>
    <row r="41" spans="2:19" s="67" customFormat="1">
      <c r="B41" s="79"/>
      <c r="C41" s="80"/>
      <c r="D41" s="81"/>
      <c r="E41" s="80" t="s">
        <v>93</v>
      </c>
      <c r="F41" s="80" t="s">
        <v>113</v>
      </c>
      <c r="G41" s="80" t="s">
        <v>114</v>
      </c>
      <c r="H41" s="80" t="s">
        <v>115</v>
      </c>
      <c r="I41" s="80" t="s">
        <v>121</v>
      </c>
      <c r="J41" s="106" t="s">
        <v>55</v>
      </c>
      <c r="K41" s="65"/>
      <c r="L41" s="186"/>
      <c r="M41" s="186"/>
      <c r="N41" s="188"/>
      <c r="O41" s="190"/>
      <c r="P41" s="78"/>
      <c r="Q41" s="78"/>
    </row>
    <row r="42" spans="2:19" s="67" customFormat="1">
      <c r="B42" s="81"/>
      <c r="C42" s="82"/>
      <c r="D42" s="81"/>
      <c r="E42" s="80">
        <v>0</v>
      </c>
      <c r="F42" s="80">
        <v>1</v>
      </c>
      <c r="G42" s="80">
        <v>2</v>
      </c>
      <c r="H42" s="80">
        <v>3</v>
      </c>
      <c r="I42" s="80">
        <v>4</v>
      </c>
      <c r="J42" s="106">
        <v>5</v>
      </c>
      <c r="K42" s="65"/>
      <c r="L42" s="186"/>
      <c r="M42" s="186"/>
      <c r="N42" s="188"/>
      <c r="O42" s="190"/>
      <c r="P42" s="78"/>
      <c r="Q42" s="78"/>
    </row>
    <row r="43" spans="2:19">
      <c r="B43" s="77"/>
      <c r="C43" s="16"/>
      <c r="D43" s="77"/>
      <c r="E43" s="15"/>
      <c r="F43" s="15"/>
      <c r="G43" s="15"/>
      <c r="H43" s="15"/>
      <c r="I43" s="15"/>
      <c r="J43" s="101"/>
      <c r="L43" s="186"/>
      <c r="M43" s="186"/>
      <c r="N43" s="190"/>
      <c r="O43" s="190"/>
      <c r="P43" s="75"/>
      <c r="Q43" s="75"/>
    </row>
    <row r="44" spans="2:19">
      <c r="B44" s="77">
        <v>3</v>
      </c>
      <c r="C44" s="16" t="s">
        <v>116</v>
      </c>
      <c r="D44" s="77"/>
      <c r="E44" s="15"/>
      <c r="F44" s="15"/>
      <c r="G44" s="15"/>
      <c r="H44" s="15"/>
      <c r="I44" s="15"/>
      <c r="J44" s="103"/>
      <c r="L44" s="189">
        <v>100</v>
      </c>
      <c r="M44" s="189" t="e">
        <f>SUMPRODUCT(K45:K49,L45:L49)/500 *5</f>
        <v>#N/A</v>
      </c>
      <c r="N44" s="189"/>
      <c r="O44" s="190"/>
      <c r="P44" s="75"/>
      <c r="Q44" s="75"/>
      <c r="R44" s="74"/>
      <c r="S44" s="74"/>
    </row>
    <row r="45" spans="2:19">
      <c r="B45" s="77"/>
      <c r="C45" s="15"/>
      <c r="D45" s="77" t="s">
        <v>82</v>
      </c>
      <c r="E45" s="15" t="s">
        <v>83</v>
      </c>
      <c r="F45" s="15"/>
      <c r="G45" s="15"/>
      <c r="H45" s="15"/>
      <c r="I45" s="15"/>
      <c r="J45" s="104"/>
      <c r="K45" s="65" t="e">
        <f>HLOOKUP(J45,E46:J47,2,FALSE)</f>
        <v>#N/A</v>
      </c>
      <c r="L45" s="186" t="e">
        <f>J47*K45</f>
        <v>#N/A</v>
      </c>
      <c r="M45" s="186"/>
      <c r="N45" s="188"/>
      <c r="O45" s="190"/>
      <c r="P45" s="75"/>
      <c r="Q45" s="75"/>
    </row>
    <row r="46" spans="2:19" s="67" customFormat="1">
      <c r="B46" s="81"/>
      <c r="C46" s="80"/>
      <c r="D46" s="81"/>
      <c r="E46" s="80" t="s">
        <v>22</v>
      </c>
      <c r="F46" s="80" t="s">
        <v>41</v>
      </c>
      <c r="G46" s="80" t="s">
        <v>117</v>
      </c>
      <c r="H46" s="80" t="s">
        <v>118</v>
      </c>
      <c r="I46" s="80" t="s">
        <v>135</v>
      </c>
      <c r="J46" s="106" t="s">
        <v>136</v>
      </c>
      <c r="K46" s="65"/>
      <c r="L46" s="186"/>
      <c r="M46" s="186"/>
      <c r="N46" s="188"/>
      <c r="O46" s="190"/>
      <c r="P46" s="78"/>
      <c r="Q46" s="78"/>
    </row>
    <row r="47" spans="2:19" s="67" customFormat="1">
      <c r="B47" s="81"/>
      <c r="C47" s="80"/>
      <c r="D47" s="81"/>
      <c r="E47" s="80">
        <v>0</v>
      </c>
      <c r="F47" s="80">
        <v>1</v>
      </c>
      <c r="G47" s="80">
        <v>2</v>
      </c>
      <c r="H47" s="80">
        <v>3</v>
      </c>
      <c r="I47" s="80">
        <v>4</v>
      </c>
      <c r="J47" s="106">
        <v>5</v>
      </c>
      <c r="K47" s="65"/>
      <c r="L47" s="186"/>
      <c r="M47" s="186"/>
      <c r="N47" s="188"/>
      <c r="O47" s="190"/>
      <c r="P47" s="78"/>
      <c r="Q47" s="78"/>
    </row>
    <row r="48" spans="2:19">
      <c r="B48" s="77"/>
      <c r="C48" s="15"/>
      <c r="D48" s="77"/>
      <c r="E48" s="15"/>
      <c r="F48" s="15"/>
      <c r="G48" s="15"/>
      <c r="H48" s="15"/>
      <c r="I48" s="15"/>
      <c r="J48" s="101"/>
      <c r="L48" s="186"/>
      <c r="M48" s="186"/>
      <c r="N48" s="188"/>
      <c r="O48" s="190"/>
      <c r="P48" s="75"/>
      <c r="Q48" s="75"/>
    </row>
    <row r="49" spans="1:19">
      <c r="B49" s="77"/>
      <c r="C49" s="15"/>
      <c r="D49" s="77" t="s">
        <v>82</v>
      </c>
      <c r="E49" s="15" t="s">
        <v>119</v>
      </c>
      <c r="F49" s="15"/>
      <c r="G49" s="15"/>
      <c r="H49" s="15"/>
      <c r="I49" s="15"/>
      <c r="J49" s="104"/>
      <c r="K49" s="65" t="e">
        <f>HLOOKUP(J49,E50:J51,2,FALSE)</f>
        <v>#N/A</v>
      </c>
      <c r="L49" s="186" t="e">
        <f>J51*K49</f>
        <v>#N/A</v>
      </c>
      <c r="M49" s="186"/>
      <c r="N49" s="188"/>
      <c r="O49" s="190"/>
      <c r="P49" s="75"/>
      <c r="Q49" s="75"/>
    </row>
    <row r="50" spans="1:19" s="67" customFormat="1" ht="22">
      <c r="B50" s="81"/>
      <c r="C50" s="80">
        <v>2</v>
      </c>
      <c r="D50" s="81"/>
      <c r="E50" s="80" t="s">
        <v>9</v>
      </c>
      <c r="F50" s="80" t="s">
        <v>41</v>
      </c>
      <c r="G50" s="80" t="s">
        <v>117</v>
      </c>
      <c r="H50" s="80" t="s">
        <v>120</v>
      </c>
      <c r="I50" s="80" t="s">
        <v>137</v>
      </c>
      <c r="J50" s="105" t="s">
        <v>136</v>
      </c>
      <c r="K50" s="65"/>
      <c r="L50" s="186"/>
      <c r="M50" s="186"/>
      <c r="N50" s="188"/>
      <c r="O50" s="190"/>
      <c r="P50" s="78"/>
      <c r="Q50" s="78"/>
    </row>
    <row r="51" spans="1:19" s="67" customFormat="1">
      <c r="B51" s="77"/>
      <c r="C51" s="15"/>
      <c r="D51" s="77"/>
      <c r="E51" s="83">
        <v>0</v>
      </c>
      <c r="F51" s="84">
        <v>1</v>
      </c>
      <c r="G51" s="84">
        <v>2</v>
      </c>
      <c r="H51" s="84">
        <v>3</v>
      </c>
      <c r="I51" s="84">
        <v>4</v>
      </c>
      <c r="J51" s="106">
        <v>5</v>
      </c>
      <c r="K51" s="65"/>
      <c r="L51" s="191" t="e">
        <f>SUM(Maturity!M6,Maturity!M31,Maturity!M44)</f>
        <v>#N/A</v>
      </c>
      <c r="M51" s="191"/>
      <c r="N51" s="188"/>
      <c r="O51" s="190"/>
      <c r="P51" s="78"/>
      <c r="Q51" s="78"/>
    </row>
    <row r="52" spans="1:19">
      <c r="B52" s="77"/>
      <c r="C52" s="15"/>
      <c r="D52" s="77"/>
      <c r="E52" s="62"/>
      <c r="F52" s="63"/>
      <c r="G52" s="63"/>
      <c r="H52" s="63"/>
      <c r="I52" s="63"/>
      <c r="J52" s="101"/>
      <c r="L52" s="186"/>
      <c r="M52" s="186"/>
      <c r="N52" s="190"/>
      <c r="O52" s="190"/>
      <c r="P52" s="75"/>
      <c r="Q52" s="75"/>
    </row>
    <row r="53" spans="1:19" ht="19">
      <c r="B53" s="77"/>
      <c r="C53" s="16"/>
      <c r="D53" s="17" t="s">
        <v>138</v>
      </c>
      <c r="E53" s="168" t="s">
        <v>139</v>
      </c>
      <c r="F53" s="168"/>
      <c r="G53" s="168"/>
      <c r="H53" s="168"/>
      <c r="I53" s="168"/>
      <c r="J53" s="168"/>
      <c r="L53" s="186"/>
      <c r="M53" s="186"/>
      <c r="N53" s="192"/>
      <c r="O53" s="190"/>
      <c r="P53" s="75"/>
      <c r="Q53" s="75"/>
    </row>
    <row r="54" spans="1:19" ht="19">
      <c r="B54" s="77"/>
      <c r="C54" s="16"/>
      <c r="D54" s="77"/>
      <c r="E54" s="169" t="s">
        <v>141</v>
      </c>
      <c r="F54" s="169"/>
      <c r="G54" s="169"/>
      <c r="H54" s="169"/>
      <c r="I54" s="169"/>
      <c r="J54" s="169"/>
      <c r="L54" s="186"/>
      <c r="M54" s="186"/>
      <c r="N54" s="192"/>
      <c r="O54" s="190"/>
      <c r="P54" s="75"/>
      <c r="Q54" s="75"/>
    </row>
    <row r="55" spans="1:19" ht="19">
      <c r="B55" s="77"/>
      <c r="C55" s="16"/>
      <c r="D55" s="77"/>
      <c r="E55" s="169"/>
      <c r="F55" s="169"/>
      <c r="G55" s="169"/>
      <c r="H55" s="169"/>
      <c r="I55" s="169"/>
      <c r="J55" s="169"/>
      <c r="L55" s="186"/>
      <c r="M55" s="186"/>
      <c r="N55" s="192"/>
      <c r="O55" s="190"/>
      <c r="P55" s="75"/>
      <c r="Q55" s="75"/>
    </row>
    <row r="56" spans="1:19">
      <c r="B56" s="77"/>
      <c r="C56" s="16"/>
      <c r="D56" s="77"/>
      <c r="E56" s="62"/>
      <c r="F56" s="63"/>
      <c r="G56" s="63"/>
      <c r="H56" s="63"/>
      <c r="I56" s="63"/>
      <c r="J56" s="101"/>
      <c r="L56" s="186"/>
      <c r="M56" s="186"/>
      <c r="N56" s="190"/>
      <c r="O56" s="190"/>
      <c r="P56" s="75"/>
      <c r="Q56" s="75"/>
    </row>
    <row r="57" spans="1:19">
      <c r="A57" s="17" t="s">
        <v>142</v>
      </c>
      <c r="C57" s="16"/>
      <c r="D57" s="77"/>
      <c r="E57" s="73"/>
      <c r="F57" s="72"/>
      <c r="G57" s="72"/>
      <c r="H57" s="72"/>
      <c r="I57" s="72"/>
      <c r="J57" s="102"/>
      <c r="L57" s="186"/>
      <c r="M57" s="186"/>
      <c r="N57" s="192"/>
      <c r="O57" s="189"/>
      <c r="P57" s="167"/>
      <c r="Q57" s="167"/>
      <c r="R57" s="167"/>
      <c r="S57" s="74"/>
    </row>
    <row r="58" spans="1:19">
      <c r="B58" s="77">
        <v>1</v>
      </c>
      <c r="C58" s="16" t="s">
        <v>143</v>
      </c>
      <c r="D58" s="77"/>
      <c r="E58" s="76"/>
      <c r="F58" s="74"/>
      <c r="G58" s="74"/>
      <c r="H58" s="74"/>
      <c r="I58" s="74"/>
      <c r="J58" s="103"/>
      <c r="L58" s="189">
        <v>100</v>
      </c>
      <c r="M58" s="189" t="e">
        <f>(SUMPRODUCT(K59:K71,L59:L71)/500 )*2.5</f>
        <v>#N/A</v>
      </c>
      <c r="N58" s="189"/>
      <c r="O58" s="190"/>
      <c r="P58" s="75"/>
      <c r="Q58" s="75"/>
      <c r="R58" s="74"/>
      <c r="S58" s="74"/>
    </row>
    <row r="59" spans="1:19">
      <c r="B59" s="77"/>
      <c r="C59" s="15"/>
      <c r="D59" s="77" t="s">
        <v>68</v>
      </c>
      <c r="E59" s="15" t="s">
        <v>144</v>
      </c>
      <c r="F59" s="15"/>
      <c r="G59" s="15"/>
      <c r="H59" s="15"/>
      <c r="I59" s="15"/>
      <c r="J59" s="108"/>
      <c r="K59" s="65" t="e">
        <f>HLOOKUP(J59,E60:J61,2,FALSE)</f>
        <v>#N/A</v>
      </c>
      <c r="L59" s="186" t="e">
        <f>K59*J65</f>
        <v>#N/A</v>
      </c>
      <c r="M59" s="186"/>
      <c r="N59" s="188"/>
      <c r="O59" s="190"/>
      <c r="P59" s="75"/>
      <c r="Q59" s="75"/>
    </row>
    <row r="60" spans="1:19" s="67" customFormat="1" ht="22">
      <c r="B60" s="81"/>
      <c r="C60" s="80"/>
      <c r="D60" s="81"/>
      <c r="E60" s="80" t="s">
        <v>9</v>
      </c>
      <c r="F60" s="80" t="s">
        <v>109</v>
      </c>
      <c r="G60" s="80" t="s">
        <v>41</v>
      </c>
      <c r="H60" s="80" t="s">
        <v>145</v>
      </c>
      <c r="I60" s="80" t="s">
        <v>146</v>
      </c>
      <c r="J60" s="105" t="s">
        <v>11</v>
      </c>
      <c r="K60" s="65"/>
      <c r="L60" s="186"/>
      <c r="M60" s="186"/>
      <c r="N60" s="188"/>
      <c r="O60" s="190"/>
      <c r="P60" s="78"/>
      <c r="Q60" s="78"/>
    </row>
    <row r="61" spans="1:19" s="67" customFormat="1">
      <c r="B61" s="81"/>
      <c r="C61" s="80"/>
      <c r="D61" s="81"/>
      <c r="E61" s="80">
        <v>0</v>
      </c>
      <c r="F61" s="80">
        <v>1</v>
      </c>
      <c r="G61" s="80">
        <v>2</v>
      </c>
      <c r="H61" s="80">
        <v>3</v>
      </c>
      <c r="I61" s="80">
        <v>4</v>
      </c>
      <c r="J61" s="106">
        <v>5</v>
      </c>
      <c r="K61" s="65"/>
      <c r="L61" s="186"/>
      <c r="M61" s="186"/>
      <c r="N61" s="188"/>
      <c r="O61" s="190"/>
      <c r="P61" s="78"/>
      <c r="Q61" s="78"/>
    </row>
    <row r="62" spans="1:19">
      <c r="B62" s="77"/>
      <c r="C62" s="15"/>
      <c r="D62" s="77"/>
      <c r="E62" s="15"/>
      <c r="F62" s="15"/>
      <c r="G62" s="15"/>
      <c r="H62" s="15"/>
      <c r="I62" s="15"/>
      <c r="J62" s="101"/>
      <c r="L62" s="186"/>
      <c r="M62" s="186"/>
      <c r="N62" s="188"/>
      <c r="O62" s="190"/>
      <c r="P62" s="75"/>
      <c r="Q62" s="75"/>
    </row>
    <row r="63" spans="1:19">
      <c r="B63" s="77"/>
      <c r="C63" s="15"/>
      <c r="D63" s="77" t="s">
        <v>147</v>
      </c>
      <c r="E63" s="15" t="s">
        <v>148</v>
      </c>
      <c r="F63" s="15"/>
      <c r="G63" s="15"/>
      <c r="H63" s="15"/>
      <c r="I63" s="15"/>
      <c r="J63" s="108"/>
      <c r="K63" s="65" t="e">
        <f>HLOOKUP(J63,E64:J65,2,FALSE)</f>
        <v>#N/A</v>
      </c>
      <c r="L63" s="186">
        <v>25</v>
      </c>
      <c r="M63" s="186"/>
      <c r="N63" s="188"/>
      <c r="O63" s="190"/>
      <c r="P63" s="75"/>
      <c r="Q63" s="75"/>
    </row>
    <row r="64" spans="1:19" s="67" customFormat="1" ht="22">
      <c r="B64" s="81"/>
      <c r="C64" s="80"/>
      <c r="D64" s="81"/>
      <c r="E64" s="80" t="s">
        <v>9</v>
      </c>
      <c r="F64" s="80" t="s">
        <v>109</v>
      </c>
      <c r="G64" s="80" t="s">
        <v>41</v>
      </c>
      <c r="H64" s="80" t="s">
        <v>145</v>
      </c>
      <c r="I64" s="80" t="s">
        <v>146</v>
      </c>
      <c r="J64" s="105" t="s">
        <v>11</v>
      </c>
      <c r="K64" s="65"/>
      <c r="L64" s="186"/>
      <c r="M64" s="186"/>
      <c r="N64" s="188"/>
      <c r="O64" s="190"/>
      <c r="P64" s="78"/>
      <c r="Q64" s="78"/>
    </row>
    <row r="65" spans="2:19" s="67" customFormat="1">
      <c r="B65" s="81"/>
      <c r="C65" s="80"/>
      <c r="D65" s="81"/>
      <c r="E65" s="80">
        <v>0</v>
      </c>
      <c r="F65" s="80">
        <v>1</v>
      </c>
      <c r="G65" s="80">
        <v>2</v>
      </c>
      <c r="H65" s="80">
        <v>3</v>
      </c>
      <c r="I65" s="80">
        <v>4</v>
      </c>
      <c r="J65" s="106">
        <v>5</v>
      </c>
      <c r="K65" s="65"/>
      <c r="L65" s="186"/>
      <c r="M65" s="186"/>
      <c r="N65" s="188"/>
      <c r="O65" s="190"/>
      <c r="P65" s="78"/>
      <c r="Q65" s="78"/>
    </row>
    <row r="66" spans="2:19">
      <c r="B66" s="77"/>
      <c r="C66" s="15"/>
      <c r="D66" s="77"/>
      <c r="E66" s="15"/>
      <c r="F66" s="15"/>
      <c r="G66" s="15"/>
      <c r="H66" s="15"/>
      <c r="I66" s="15"/>
      <c r="J66" s="101"/>
      <c r="L66" s="186"/>
      <c r="M66" s="186"/>
      <c r="N66" s="190"/>
      <c r="O66" s="190"/>
      <c r="P66" s="75"/>
      <c r="Q66" s="75"/>
    </row>
    <row r="67" spans="2:19">
      <c r="B67" s="77"/>
      <c r="C67" s="15"/>
      <c r="D67" s="77" t="s">
        <v>63</v>
      </c>
      <c r="E67" s="15" t="s">
        <v>149</v>
      </c>
      <c r="F67" s="15"/>
      <c r="G67" s="15"/>
      <c r="H67" s="15"/>
      <c r="I67" s="15"/>
      <c r="J67" s="108"/>
      <c r="K67" s="65" t="e">
        <f>HLOOKUP(J67,E68:J69,2,FALSE)</f>
        <v>#N/A</v>
      </c>
      <c r="L67" s="186">
        <v>25</v>
      </c>
      <c r="M67" s="186"/>
      <c r="N67" s="188"/>
      <c r="O67" s="190"/>
      <c r="P67" s="75"/>
      <c r="Q67" s="75"/>
    </row>
    <row r="68" spans="2:19" s="67" customFormat="1" ht="22">
      <c r="B68" s="81"/>
      <c r="C68" s="80"/>
      <c r="D68" s="81"/>
      <c r="E68" s="80" t="s">
        <v>8</v>
      </c>
      <c r="F68" s="80" t="s">
        <v>150</v>
      </c>
      <c r="G68" s="80" t="s">
        <v>151</v>
      </c>
      <c r="H68" s="80" t="s">
        <v>152</v>
      </c>
      <c r="I68" s="80" t="s">
        <v>153</v>
      </c>
      <c r="J68" s="105" t="s">
        <v>154</v>
      </c>
      <c r="K68" s="65"/>
      <c r="L68" s="186"/>
      <c r="M68" s="186"/>
      <c r="N68" s="188"/>
      <c r="O68" s="190"/>
      <c r="P68" s="78"/>
      <c r="Q68" s="78"/>
    </row>
    <row r="69" spans="2:19" s="67" customFormat="1">
      <c r="B69" s="81"/>
      <c r="C69" s="80"/>
      <c r="D69" s="81"/>
      <c r="E69" s="80">
        <v>0</v>
      </c>
      <c r="F69" s="80">
        <v>1</v>
      </c>
      <c r="G69" s="80">
        <v>2</v>
      </c>
      <c r="H69" s="80">
        <v>3</v>
      </c>
      <c r="I69" s="80">
        <v>4</v>
      </c>
      <c r="J69" s="106">
        <v>5</v>
      </c>
      <c r="K69" s="65"/>
      <c r="L69" s="186"/>
      <c r="M69" s="186"/>
      <c r="N69" s="188"/>
      <c r="O69" s="190"/>
      <c r="P69" s="78"/>
      <c r="Q69" s="78"/>
    </row>
    <row r="70" spans="2:19">
      <c r="B70" s="77"/>
      <c r="C70" s="15"/>
      <c r="D70" s="77"/>
      <c r="E70" s="15"/>
      <c r="F70" s="15"/>
      <c r="G70" s="15"/>
      <c r="H70" s="15"/>
      <c r="I70" s="15"/>
      <c r="J70" s="101"/>
      <c r="L70" s="186"/>
      <c r="M70" s="186"/>
      <c r="N70" s="190"/>
      <c r="O70" s="190"/>
      <c r="P70" s="75"/>
      <c r="Q70" s="75"/>
    </row>
    <row r="71" spans="2:19">
      <c r="B71" s="77"/>
      <c r="C71" s="15"/>
      <c r="D71" s="77" t="s">
        <v>155</v>
      </c>
      <c r="E71" s="15" t="s">
        <v>156</v>
      </c>
      <c r="F71" s="15"/>
      <c r="G71" s="15"/>
      <c r="H71" s="15"/>
      <c r="I71" s="15"/>
      <c r="J71" s="108"/>
      <c r="K71" s="65" t="e">
        <f>HLOOKUP(J71,E72:J73,2,FALSE)</f>
        <v>#N/A</v>
      </c>
      <c r="L71" s="186">
        <v>25</v>
      </c>
      <c r="M71" s="186"/>
      <c r="N71" s="188"/>
      <c r="O71" s="190"/>
      <c r="P71" s="75"/>
      <c r="Q71" s="75"/>
    </row>
    <row r="72" spans="2:19" s="67" customFormat="1" ht="22">
      <c r="B72" s="81"/>
      <c r="C72" s="82">
        <v>4</v>
      </c>
      <c r="D72" s="81"/>
      <c r="E72" s="80" t="s">
        <v>8</v>
      </c>
      <c r="F72" s="80" t="s">
        <v>9</v>
      </c>
      <c r="G72" s="80" t="s">
        <v>10</v>
      </c>
      <c r="H72" s="80" t="s">
        <v>157</v>
      </c>
      <c r="I72" s="80" t="s">
        <v>158</v>
      </c>
      <c r="J72" s="105" t="s">
        <v>159</v>
      </c>
      <c r="K72" s="65"/>
      <c r="L72" s="186"/>
      <c r="M72" s="186"/>
      <c r="N72" s="188"/>
      <c r="O72" s="190"/>
      <c r="P72" s="78"/>
      <c r="Q72" s="78"/>
      <c r="R72" s="66"/>
      <c r="S72" s="66"/>
    </row>
    <row r="73" spans="2:19" s="67" customFormat="1">
      <c r="B73" s="81"/>
      <c r="C73" s="82"/>
      <c r="D73" s="81"/>
      <c r="E73" s="80">
        <v>0</v>
      </c>
      <c r="F73" s="80">
        <v>1</v>
      </c>
      <c r="G73" s="80">
        <v>2</v>
      </c>
      <c r="H73" s="80">
        <v>3</v>
      </c>
      <c r="I73" s="80">
        <v>4</v>
      </c>
      <c r="J73" s="106">
        <v>5</v>
      </c>
      <c r="K73" s="65"/>
      <c r="L73" s="186"/>
      <c r="M73" s="186"/>
      <c r="N73" s="188"/>
      <c r="O73" s="190"/>
      <c r="P73" s="78"/>
      <c r="Q73" s="78"/>
    </row>
    <row r="74" spans="2:19">
      <c r="B74" s="77"/>
      <c r="C74" s="16"/>
      <c r="D74" s="77"/>
      <c r="E74" s="15"/>
      <c r="F74" s="15"/>
      <c r="G74" s="15"/>
      <c r="H74" s="15"/>
      <c r="I74" s="15"/>
      <c r="J74" s="101"/>
      <c r="L74" s="186"/>
      <c r="M74" s="186"/>
      <c r="N74" s="190"/>
      <c r="O74" s="190"/>
      <c r="P74" s="75"/>
      <c r="Q74" s="75"/>
    </row>
    <row r="75" spans="2:19">
      <c r="B75" s="77">
        <v>2</v>
      </c>
      <c r="C75" s="16" t="s">
        <v>160</v>
      </c>
      <c r="D75" s="77"/>
      <c r="E75" s="15"/>
      <c r="F75" s="15"/>
      <c r="G75" s="15"/>
      <c r="H75" s="15"/>
      <c r="I75" s="15"/>
      <c r="J75" s="103"/>
      <c r="L75" s="189">
        <v>100</v>
      </c>
      <c r="M75" s="189" t="e">
        <f>(SUMPRODUCT(K76:K84,L76:L84)/500 )*2.5</f>
        <v>#N/A</v>
      </c>
      <c r="N75" s="189"/>
      <c r="O75" s="190"/>
      <c r="P75" s="75"/>
      <c r="Q75" s="75"/>
    </row>
    <row r="76" spans="2:19">
      <c r="B76" s="77"/>
      <c r="C76" s="15"/>
      <c r="D76" s="77" t="s">
        <v>82</v>
      </c>
      <c r="E76" s="15" t="s">
        <v>161</v>
      </c>
      <c r="F76" s="15"/>
      <c r="G76" s="15"/>
      <c r="H76" s="15"/>
      <c r="I76" s="15"/>
      <c r="J76" s="108"/>
      <c r="K76" s="65" t="e">
        <f>HLOOKUP(J76,E77:J78,2,FALSE)</f>
        <v>#N/A</v>
      </c>
      <c r="L76" s="186">
        <v>25</v>
      </c>
      <c r="M76" s="186"/>
      <c r="N76" s="188"/>
      <c r="O76" s="190"/>
      <c r="P76" s="75"/>
      <c r="Q76" s="75"/>
    </row>
    <row r="77" spans="2:19" s="67" customFormat="1" ht="22">
      <c r="B77" s="81"/>
      <c r="C77" s="80"/>
      <c r="D77" s="81"/>
      <c r="E77" s="80" t="s">
        <v>22</v>
      </c>
      <c r="F77" s="80" t="s">
        <v>41</v>
      </c>
      <c r="G77" s="80" t="s">
        <v>117</v>
      </c>
      <c r="H77" s="80" t="s">
        <v>162</v>
      </c>
      <c r="I77" s="80" t="s">
        <v>163</v>
      </c>
      <c r="J77" s="105" t="s">
        <v>164</v>
      </c>
      <c r="K77" s="65"/>
      <c r="L77" s="186"/>
      <c r="M77" s="186"/>
      <c r="N77" s="188"/>
      <c r="O77" s="190"/>
      <c r="P77" s="78"/>
      <c r="Q77" s="78"/>
    </row>
    <row r="78" spans="2:19" s="67" customFormat="1">
      <c r="B78" s="81"/>
      <c r="C78" s="80"/>
      <c r="D78" s="81"/>
      <c r="E78" s="80">
        <v>0</v>
      </c>
      <c r="F78" s="80">
        <v>1</v>
      </c>
      <c r="G78" s="80">
        <v>2</v>
      </c>
      <c r="H78" s="80">
        <v>3</v>
      </c>
      <c r="I78" s="80">
        <v>4</v>
      </c>
      <c r="J78" s="106">
        <v>5</v>
      </c>
      <c r="K78" s="65"/>
      <c r="L78" s="186"/>
      <c r="M78" s="186"/>
      <c r="N78" s="188"/>
      <c r="O78" s="190"/>
      <c r="P78" s="78"/>
      <c r="Q78" s="78"/>
    </row>
    <row r="79" spans="2:19">
      <c r="B79" s="77"/>
      <c r="C79" s="15"/>
      <c r="D79" s="77"/>
      <c r="E79" s="15"/>
      <c r="F79" s="15"/>
      <c r="G79" s="15"/>
      <c r="H79" s="15"/>
      <c r="I79" s="15"/>
      <c r="J79" s="101"/>
      <c r="L79" s="186"/>
      <c r="M79" s="186"/>
      <c r="N79" s="188"/>
      <c r="O79" s="190"/>
      <c r="P79" s="75"/>
      <c r="Q79" s="75"/>
    </row>
    <row r="80" spans="2:19">
      <c r="B80" s="77"/>
      <c r="C80" s="15"/>
      <c r="D80" s="77" t="s">
        <v>43</v>
      </c>
      <c r="E80" s="15" t="s">
        <v>165</v>
      </c>
      <c r="F80" s="15"/>
      <c r="G80" s="15"/>
      <c r="H80" s="15"/>
      <c r="I80" s="15"/>
      <c r="J80" s="108"/>
      <c r="K80" s="65" t="e">
        <f>HLOOKUP(J80,E81:J82,2,FALSE)</f>
        <v>#N/A</v>
      </c>
      <c r="L80" s="186">
        <v>25</v>
      </c>
      <c r="M80" s="186"/>
      <c r="N80" s="188"/>
      <c r="O80" s="190"/>
      <c r="P80" s="75"/>
      <c r="Q80" s="75"/>
      <c r="R80" s="74"/>
      <c r="S80" s="74"/>
    </row>
    <row r="81" spans="2:19" s="67" customFormat="1" ht="22">
      <c r="B81" s="81"/>
      <c r="C81" s="80"/>
      <c r="D81" s="81"/>
      <c r="E81" s="80" t="s">
        <v>166</v>
      </c>
      <c r="F81" s="80" t="s">
        <v>44</v>
      </c>
      <c r="G81" s="80" t="s">
        <v>45</v>
      </c>
      <c r="H81" s="80" t="s">
        <v>46</v>
      </c>
      <c r="I81" s="80" t="s">
        <v>47</v>
      </c>
      <c r="J81" s="105" t="s">
        <v>48</v>
      </c>
      <c r="K81" s="65"/>
      <c r="L81" s="186"/>
      <c r="M81" s="186"/>
      <c r="N81" s="188"/>
      <c r="O81" s="190"/>
      <c r="P81" s="78"/>
      <c r="Q81" s="78"/>
    </row>
    <row r="82" spans="2:19" s="67" customFormat="1">
      <c r="B82" s="81"/>
      <c r="C82" s="80"/>
      <c r="D82" s="81"/>
      <c r="E82" s="80">
        <v>0</v>
      </c>
      <c r="F82" s="80">
        <v>1</v>
      </c>
      <c r="G82" s="80">
        <v>2</v>
      </c>
      <c r="H82" s="80">
        <v>3</v>
      </c>
      <c r="I82" s="80">
        <v>4</v>
      </c>
      <c r="J82" s="106">
        <v>5</v>
      </c>
      <c r="K82" s="65"/>
      <c r="L82" s="186"/>
      <c r="M82" s="186"/>
      <c r="N82" s="188"/>
      <c r="O82" s="190"/>
      <c r="P82" s="78"/>
      <c r="Q82" s="78"/>
    </row>
    <row r="83" spans="2:19">
      <c r="B83" s="77"/>
      <c r="C83" s="15"/>
      <c r="D83" s="77"/>
      <c r="E83" s="15"/>
      <c r="F83" s="15"/>
      <c r="G83" s="15"/>
      <c r="H83" s="15"/>
      <c r="I83" s="15"/>
      <c r="J83" s="101"/>
      <c r="L83" s="186"/>
      <c r="M83" s="186"/>
      <c r="N83" s="190"/>
      <c r="O83" s="190"/>
      <c r="P83" s="75"/>
      <c r="Q83" s="75"/>
    </row>
    <row r="84" spans="2:19">
      <c r="B84" s="77"/>
      <c r="C84" s="15"/>
      <c r="D84" s="77" t="s">
        <v>43</v>
      </c>
      <c r="E84" s="15" t="s">
        <v>49</v>
      </c>
      <c r="F84" s="15"/>
      <c r="G84" s="15"/>
      <c r="H84" s="15"/>
      <c r="I84" s="15"/>
      <c r="J84" s="108"/>
      <c r="K84" s="65">
        <f>HLOOKUP(J84,E85:J86,2,FALSE)</f>
        <v>0</v>
      </c>
      <c r="L84" s="186">
        <v>50</v>
      </c>
      <c r="M84" s="186"/>
      <c r="N84" s="188"/>
      <c r="O84" s="190"/>
      <c r="P84" s="75"/>
      <c r="Q84" s="75"/>
      <c r="R84" s="74"/>
      <c r="S84" s="74"/>
    </row>
    <row r="85" spans="2:19" s="67" customFormat="1">
      <c r="B85" s="81"/>
      <c r="C85" s="80">
        <v>3</v>
      </c>
      <c r="D85" s="81"/>
      <c r="E85" s="80">
        <v>0</v>
      </c>
      <c r="F85" s="80">
        <v>1</v>
      </c>
      <c r="G85" s="80">
        <v>2</v>
      </c>
      <c r="H85" s="80">
        <v>3</v>
      </c>
      <c r="I85" s="80">
        <v>4</v>
      </c>
      <c r="J85" s="105">
        <v>5</v>
      </c>
      <c r="K85" s="65"/>
      <c r="L85" s="186"/>
      <c r="M85" s="186"/>
      <c r="N85" s="188"/>
      <c r="O85" s="190"/>
      <c r="P85" s="78"/>
      <c r="Q85" s="78"/>
    </row>
    <row r="86" spans="2:19" s="67" customFormat="1">
      <c r="B86" s="81"/>
      <c r="C86" s="82"/>
      <c r="D86" s="81"/>
      <c r="E86" s="80">
        <v>0</v>
      </c>
      <c r="F86" s="80">
        <v>1</v>
      </c>
      <c r="G86" s="80">
        <v>2</v>
      </c>
      <c r="H86" s="80">
        <v>3</v>
      </c>
      <c r="I86" s="80">
        <v>4</v>
      </c>
      <c r="J86" s="106">
        <v>5</v>
      </c>
      <c r="K86" s="65"/>
      <c r="L86" s="186"/>
      <c r="M86" s="186"/>
      <c r="N86" s="188"/>
      <c r="O86" s="190"/>
      <c r="P86" s="78"/>
      <c r="Q86" s="78"/>
    </row>
    <row r="87" spans="2:19">
      <c r="B87" s="77"/>
      <c r="C87" s="16"/>
      <c r="D87" s="77"/>
      <c r="E87" s="15"/>
      <c r="F87" s="15"/>
      <c r="G87" s="15"/>
      <c r="H87" s="15"/>
      <c r="I87" s="15"/>
      <c r="J87" s="101"/>
      <c r="L87" s="186"/>
      <c r="M87" s="186"/>
      <c r="N87" s="190"/>
      <c r="O87" s="190"/>
      <c r="P87" s="75"/>
      <c r="Q87" s="75"/>
    </row>
    <row r="88" spans="2:19">
      <c r="B88" s="77">
        <v>3</v>
      </c>
      <c r="C88" s="16" t="s">
        <v>167</v>
      </c>
      <c r="D88" s="77"/>
      <c r="E88" s="15"/>
      <c r="F88" s="15"/>
      <c r="G88" s="15"/>
      <c r="H88" s="15"/>
      <c r="I88" s="15"/>
      <c r="J88" s="103"/>
      <c r="L88" s="189">
        <v>100</v>
      </c>
      <c r="M88" s="189" t="e">
        <f>(SUMPRODUCT(K89:K93,L89:L93)/500)*2.5</f>
        <v>#N/A</v>
      </c>
      <c r="N88" s="189"/>
      <c r="O88" s="190"/>
      <c r="P88" s="75"/>
      <c r="Q88" s="75"/>
    </row>
    <row r="89" spans="2:19">
      <c r="B89" s="77"/>
      <c r="C89" s="15"/>
      <c r="D89" s="77" t="s">
        <v>168</v>
      </c>
      <c r="E89" s="15" t="s">
        <v>169</v>
      </c>
      <c r="F89" s="15"/>
      <c r="G89" s="15"/>
      <c r="H89" s="15"/>
      <c r="I89" s="15"/>
      <c r="J89" s="108"/>
      <c r="K89" s="65" t="e">
        <f>HLOOKUP(J89,E90:J91,2,FALSE)</f>
        <v>#N/A</v>
      </c>
      <c r="L89" s="186">
        <v>50</v>
      </c>
      <c r="M89" s="186"/>
      <c r="N89" s="188"/>
      <c r="O89" s="190"/>
      <c r="P89" s="75"/>
      <c r="Q89" s="75"/>
    </row>
    <row r="90" spans="2:19" s="67" customFormat="1" ht="22">
      <c r="B90" s="81"/>
      <c r="C90" s="80"/>
      <c r="D90" s="81"/>
      <c r="E90" s="80" t="s">
        <v>22</v>
      </c>
      <c r="F90" s="80" t="s">
        <v>41</v>
      </c>
      <c r="G90" s="80" t="s">
        <v>117</v>
      </c>
      <c r="H90" s="80" t="s">
        <v>162</v>
      </c>
      <c r="I90" s="80" t="s">
        <v>170</v>
      </c>
      <c r="J90" s="105" t="s">
        <v>171</v>
      </c>
      <c r="K90" s="65"/>
      <c r="L90" s="186"/>
      <c r="M90" s="186"/>
      <c r="N90" s="188"/>
      <c r="O90" s="190"/>
      <c r="P90" s="78"/>
      <c r="Q90" s="78"/>
    </row>
    <row r="91" spans="2:19" s="67" customFormat="1">
      <c r="B91" s="81"/>
      <c r="C91" s="80"/>
      <c r="D91" s="81"/>
      <c r="E91" s="80">
        <v>0</v>
      </c>
      <c r="F91" s="80">
        <v>1</v>
      </c>
      <c r="G91" s="80">
        <v>2</v>
      </c>
      <c r="H91" s="80">
        <v>3</v>
      </c>
      <c r="I91" s="80">
        <v>4</v>
      </c>
      <c r="J91" s="106">
        <v>5</v>
      </c>
      <c r="K91" s="65"/>
      <c r="L91" s="186"/>
      <c r="M91" s="186"/>
      <c r="N91" s="188"/>
      <c r="O91" s="190"/>
      <c r="P91" s="78"/>
      <c r="Q91" s="78"/>
    </row>
    <row r="92" spans="2:19">
      <c r="B92" s="77"/>
      <c r="C92" s="15"/>
      <c r="D92" s="77"/>
      <c r="E92" s="15"/>
      <c r="F92" s="15"/>
      <c r="G92" s="15"/>
      <c r="H92" s="15"/>
      <c r="I92" s="15"/>
      <c r="J92" s="101"/>
      <c r="L92" s="186"/>
      <c r="M92" s="186"/>
      <c r="N92" s="188"/>
      <c r="O92" s="190"/>
      <c r="P92" s="75"/>
      <c r="Q92" s="75"/>
    </row>
    <row r="93" spans="2:19">
      <c r="B93" s="77"/>
      <c r="C93" s="15"/>
      <c r="D93" s="77" t="s">
        <v>52</v>
      </c>
      <c r="E93" s="15" t="s">
        <v>53</v>
      </c>
      <c r="F93" s="15"/>
      <c r="G93" s="15"/>
      <c r="H93" s="15"/>
      <c r="I93" s="15"/>
      <c r="J93" s="108"/>
      <c r="K93" s="65" t="e">
        <f>HLOOKUP(J93,E94:J95,2,FALSE)</f>
        <v>#N/A</v>
      </c>
      <c r="L93" s="186">
        <v>50</v>
      </c>
      <c r="M93" s="186"/>
      <c r="N93" s="188"/>
      <c r="O93" s="190"/>
      <c r="P93" s="75"/>
      <c r="Q93" s="75"/>
      <c r="R93" s="74"/>
      <c r="S93" s="74"/>
    </row>
    <row r="94" spans="2:19" s="67" customFormat="1" ht="22">
      <c r="B94" s="81"/>
      <c r="C94" s="82">
        <v>2</v>
      </c>
      <c r="D94" s="81"/>
      <c r="E94" s="80" t="s">
        <v>22</v>
      </c>
      <c r="F94" s="80" t="s">
        <v>41</v>
      </c>
      <c r="G94" s="80" t="s">
        <v>117</v>
      </c>
      <c r="H94" s="80" t="s">
        <v>162</v>
      </c>
      <c r="I94" s="80" t="s">
        <v>170</v>
      </c>
      <c r="J94" s="105" t="s">
        <v>171</v>
      </c>
      <c r="K94" s="65"/>
      <c r="L94" s="186"/>
      <c r="M94" s="186"/>
      <c r="N94" s="188"/>
      <c r="O94" s="190"/>
      <c r="P94" s="78"/>
      <c r="Q94" s="78"/>
    </row>
    <row r="95" spans="2:19" s="67" customFormat="1">
      <c r="B95" s="81"/>
      <c r="C95" s="82"/>
      <c r="D95" s="81"/>
      <c r="E95" s="80">
        <v>0</v>
      </c>
      <c r="F95" s="80">
        <v>1</v>
      </c>
      <c r="G95" s="80">
        <v>2</v>
      </c>
      <c r="H95" s="80">
        <v>3</v>
      </c>
      <c r="I95" s="80">
        <v>4</v>
      </c>
      <c r="J95" s="106">
        <v>5</v>
      </c>
      <c r="K95" s="65"/>
      <c r="L95" s="186"/>
      <c r="M95" s="186"/>
      <c r="N95" s="188"/>
      <c r="O95" s="190"/>
      <c r="P95" s="78"/>
      <c r="Q95" s="78"/>
    </row>
    <row r="96" spans="2:19">
      <c r="B96" s="77"/>
      <c r="C96" s="16"/>
      <c r="D96" s="77"/>
      <c r="E96" s="15"/>
      <c r="F96" s="15"/>
      <c r="G96" s="15"/>
      <c r="H96" s="15"/>
      <c r="I96" s="15"/>
      <c r="J96" s="101"/>
      <c r="L96" s="186"/>
      <c r="M96" s="186"/>
      <c r="N96" s="190"/>
      <c r="O96" s="190"/>
      <c r="P96" s="75"/>
      <c r="Q96" s="75"/>
    </row>
    <row r="97" spans="1:19">
      <c r="B97" s="77">
        <v>4</v>
      </c>
      <c r="C97" s="16" t="s">
        <v>172</v>
      </c>
      <c r="D97" s="77"/>
      <c r="E97" s="15"/>
      <c r="F97" s="15"/>
      <c r="G97" s="15"/>
      <c r="H97" s="15"/>
      <c r="I97" s="15"/>
      <c r="J97" s="103"/>
      <c r="L97" s="189">
        <v>100</v>
      </c>
      <c r="M97" s="189" t="e">
        <f>SUMPRODUCT(K98:K102,L98:L102)/500*2.5</f>
        <v>#N/A</v>
      </c>
      <c r="N97" s="189"/>
      <c r="O97" s="190"/>
      <c r="P97" s="75"/>
      <c r="Q97" s="75"/>
    </row>
    <row r="98" spans="1:19">
      <c r="B98" s="77"/>
      <c r="C98" s="15"/>
      <c r="D98" s="77" t="s">
        <v>69</v>
      </c>
      <c r="E98" s="15" t="s">
        <v>70</v>
      </c>
      <c r="F98" s="15"/>
      <c r="G98" s="15"/>
      <c r="H98" s="15"/>
      <c r="I98" s="15"/>
      <c r="J98" s="108"/>
      <c r="K98" s="65" t="e">
        <f>HLOOKUP(J98,E99:J100,2,FALSE)</f>
        <v>#N/A</v>
      </c>
      <c r="L98" s="186">
        <v>50</v>
      </c>
      <c r="M98" s="186"/>
      <c r="N98" s="188"/>
      <c r="O98" s="190"/>
      <c r="P98" s="75"/>
      <c r="Q98" s="75"/>
    </row>
    <row r="99" spans="1:19" s="67" customFormat="1" ht="22">
      <c r="B99" s="81"/>
      <c r="C99" s="80"/>
      <c r="D99" s="81"/>
      <c r="E99" s="80" t="s">
        <v>93</v>
      </c>
      <c r="F99" s="80" t="s">
        <v>113</v>
      </c>
      <c r="G99" s="80" t="s">
        <v>114</v>
      </c>
      <c r="H99" s="80" t="s">
        <v>115</v>
      </c>
      <c r="I99" s="80" t="s">
        <v>121</v>
      </c>
      <c r="J99" s="105" t="s">
        <v>55</v>
      </c>
      <c r="K99" s="65"/>
      <c r="L99" s="186"/>
      <c r="M99" s="186"/>
      <c r="N99" s="188"/>
      <c r="O99" s="190"/>
      <c r="P99" s="78"/>
      <c r="Q99" s="78"/>
    </row>
    <row r="100" spans="1:19" s="67" customFormat="1">
      <c r="B100" s="81"/>
      <c r="C100" s="80"/>
      <c r="D100" s="81"/>
      <c r="E100" s="80">
        <v>0</v>
      </c>
      <c r="F100" s="80">
        <v>1</v>
      </c>
      <c r="G100" s="80">
        <v>2</v>
      </c>
      <c r="H100" s="80">
        <v>3</v>
      </c>
      <c r="I100" s="80">
        <v>4</v>
      </c>
      <c r="J100" s="106">
        <v>5</v>
      </c>
      <c r="K100" s="65"/>
      <c r="L100" s="186"/>
      <c r="M100" s="186"/>
      <c r="N100" s="188"/>
      <c r="O100" s="190"/>
      <c r="P100" s="78"/>
      <c r="Q100" s="78"/>
    </row>
    <row r="101" spans="1:19">
      <c r="B101" s="77"/>
      <c r="C101" s="15"/>
      <c r="D101" s="77"/>
      <c r="E101" s="15"/>
      <c r="F101" s="15"/>
      <c r="G101" s="15"/>
      <c r="H101" s="15"/>
      <c r="I101" s="15"/>
      <c r="J101" s="101"/>
      <c r="L101" s="186"/>
      <c r="M101" s="186"/>
      <c r="N101" s="188"/>
      <c r="O101" s="190"/>
      <c r="P101" s="75"/>
      <c r="Q101" s="75"/>
    </row>
    <row r="102" spans="1:19">
      <c r="B102" s="77"/>
      <c r="C102" s="15"/>
      <c r="D102" s="77" t="s">
        <v>81</v>
      </c>
      <c r="E102" s="15" t="s">
        <v>173</v>
      </c>
      <c r="F102" s="15"/>
      <c r="G102" s="15"/>
      <c r="H102" s="15"/>
      <c r="I102" s="15"/>
      <c r="J102" s="108"/>
      <c r="K102" s="65" t="e">
        <f>HLOOKUP(J102,E103:J104,2,FALSE)</f>
        <v>#N/A</v>
      </c>
      <c r="L102" s="186">
        <v>50</v>
      </c>
      <c r="M102" s="186"/>
      <c r="N102" s="188"/>
      <c r="O102" s="190"/>
      <c r="P102" s="75"/>
      <c r="Q102" s="75"/>
      <c r="R102" s="74"/>
      <c r="S102" s="74"/>
    </row>
    <row r="103" spans="1:19" s="67" customFormat="1" ht="22">
      <c r="B103" s="81"/>
      <c r="C103" s="82"/>
      <c r="D103" s="81"/>
      <c r="E103" s="85" t="s">
        <v>93</v>
      </c>
      <c r="F103" s="86" t="s">
        <v>113</v>
      </c>
      <c r="G103" s="86" t="s">
        <v>114</v>
      </c>
      <c r="H103" s="86" t="s">
        <v>115</v>
      </c>
      <c r="I103" s="86" t="s">
        <v>121</v>
      </c>
      <c r="J103" s="105" t="s">
        <v>55</v>
      </c>
      <c r="K103" s="65"/>
      <c r="L103" s="186"/>
      <c r="M103" s="186"/>
      <c r="N103" s="188"/>
      <c r="O103" s="190"/>
      <c r="P103" s="78"/>
      <c r="Q103" s="78"/>
    </row>
    <row r="104" spans="1:19" s="67" customFormat="1">
      <c r="B104" s="81"/>
      <c r="C104" s="82"/>
      <c r="D104" s="81"/>
      <c r="E104" s="83">
        <v>0</v>
      </c>
      <c r="F104" s="84">
        <v>1</v>
      </c>
      <c r="G104" s="84">
        <v>2</v>
      </c>
      <c r="H104" s="84">
        <v>3</v>
      </c>
      <c r="I104" s="84">
        <v>4</v>
      </c>
      <c r="J104" s="106">
        <v>5</v>
      </c>
      <c r="K104" s="65"/>
      <c r="L104" s="191" t="e">
        <f>SUM(M75,M58,M88,M97)</f>
        <v>#N/A</v>
      </c>
      <c r="M104" s="191"/>
      <c r="N104" s="188"/>
      <c r="O104" s="190"/>
      <c r="P104" s="78"/>
      <c r="Q104" s="78"/>
    </row>
    <row r="105" spans="1:19">
      <c r="B105" s="77"/>
      <c r="C105" s="16"/>
      <c r="D105" s="77"/>
      <c r="E105" s="62"/>
      <c r="F105" s="63"/>
      <c r="G105" s="63"/>
      <c r="H105" s="63"/>
      <c r="I105" s="63"/>
      <c r="J105" s="101"/>
      <c r="L105" s="186"/>
      <c r="M105" s="186"/>
      <c r="N105" s="190"/>
      <c r="O105" s="190"/>
      <c r="P105" s="75"/>
      <c r="Q105" s="75"/>
    </row>
    <row r="106" spans="1:19" ht="19">
      <c r="B106" s="77"/>
      <c r="C106" s="16"/>
      <c r="D106" s="17" t="s">
        <v>138</v>
      </c>
      <c r="E106" s="169" t="s">
        <v>174</v>
      </c>
      <c r="F106" s="169"/>
      <c r="G106" s="169"/>
      <c r="H106" s="169"/>
      <c r="I106" s="169"/>
      <c r="J106" s="169"/>
      <c r="L106" s="186" t="s">
        <v>140</v>
      </c>
      <c r="M106" s="186"/>
      <c r="N106" s="192"/>
      <c r="O106" s="190"/>
      <c r="P106" s="75"/>
      <c r="Q106" s="75"/>
    </row>
    <row r="107" spans="1:19" ht="19">
      <c r="B107" s="77"/>
      <c r="C107" s="16"/>
      <c r="D107" s="77"/>
      <c r="E107" s="169" t="s">
        <v>175</v>
      </c>
      <c r="F107" s="169"/>
      <c r="G107" s="169"/>
      <c r="H107" s="169"/>
      <c r="I107" s="169"/>
      <c r="J107" s="169"/>
      <c r="L107" s="186"/>
      <c r="M107" s="186"/>
      <c r="N107" s="192"/>
      <c r="O107" s="190"/>
      <c r="P107" s="75"/>
      <c r="Q107" s="75"/>
    </row>
    <row r="108" spans="1:19" ht="19">
      <c r="B108" s="77"/>
      <c r="C108" s="16"/>
      <c r="D108" s="77"/>
      <c r="E108" s="169"/>
      <c r="F108" s="169"/>
      <c r="G108" s="169"/>
      <c r="H108" s="169"/>
      <c r="I108" s="169"/>
      <c r="J108" s="169"/>
      <c r="L108" s="186"/>
      <c r="M108" s="186"/>
      <c r="N108" s="192"/>
      <c r="O108" s="190"/>
      <c r="P108" s="75"/>
      <c r="Q108" s="75"/>
    </row>
    <row r="109" spans="1:19">
      <c r="B109" s="77"/>
      <c r="C109" s="16"/>
      <c r="D109" s="77"/>
      <c r="E109" s="62"/>
      <c r="F109" s="64"/>
      <c r="G109" s="64"/>
      <c r="H109" s="64"/>
      <c r="I109" s="64"/>
      <c r="J109" s="101"/>
      <c r="L109" s="186"/>
      <c r="M109" s="186"/>
      <c r="N109" s="190"/>
      <c r="O109" s="190"/>
      <c r="P109" s="75"/>
      <c r="Q109" s="75"/>
    </row>
    <row r="110" spans="1:19">
      <c r="A110" s="17" t="s">
        <v>176</v>
      </c>
      <c r="C110" s="16"/>
      <c r="D110" s="77"/>
      <c r="E110" s="73"/>
      <c r="F110" s="72"/>
      <c r="G110" s="72"/>
      <c r="H110" s="72"/>
      <c r="I110" s="72"/>
      <c r="J110" s="102"/>
      <c r="L110" s="186"/>
      <c r="M110" s="186"/>
      <c r="N110" s="192"/>
      <c r="O110" s="190"/>
      <c r="P110" s="75"/>
      <c r="Q110" s="75"/>
    </row>
    <row r="111" spans="1:19">
      <c r="B111" s="77">
        <v>1</v>
      </c>
      <c r="C111" s="16" t="s">
        <v>177</v>
      </c>
      <c r="D111" s="77"/>
      <c r="E111" s="76"/>
      <c r="F111" s="74"/>
      <c r="G111" s="74"/>
      <c r="H111" s="74"/>
      <c r="I111" s="74"/>
      <c r="J111" s="103"/>
      <c r="L111" s="189">
        <v>100</v>
      </c>
      <c r="M111" s="189" t="e">
        <f>SUMPRODUCT(K112:K120,L112:L120)/500*2.5</f>
        <v>#N/A</v>
      </c>
      <c r="N111" s="189"/>
      <c r="O111" s="190"/>
      <c r="P111" s="75"/>
      <c r="Q111" s="75"/>
    </row>
    <row r="112" spans="1:19">
      <c r="B112" s="17"/>
      <c r="C112" s="15"/>
      <c r="D112" s="77" t="s">
        <v>38</v>
      </c>
      <c r="E112" s="15" t="s">
        <v>39</v>
      </c>
      <c r="F112" s="15"/>
      <c r="G112" s="15"/>
      <c r="H112" s="15"/>
      <c r="I112" s="15"/>
      <c r="J112" s="108"/>
      <c r="K112" s="65" t="e">
        <f>HLOOKUP(J112,E113:J114,2,FALSE)</f>
        <v>#N/A</v>
      </c>
      <c r="L112" s="186">
        <v>35</v>
      </c>
      <c r="M112" s="186"/>
      <c r="N112" s="188"/>
      <c r="O112" s="190"/>
      <c r="P112" s="75"/>
      <c r="Q112" s="75"/>
    </row>
    <row r="113" spans="2:17" s="67" customFormat="1" ht="22">
      <c r="B113" s="79"/>
      <c r="C113" s="80"/>
      <c r="D113" s="81"/>
      <c r="E113" s="80" t="s">
        <v>9</v>
      </c>
      <c r="F113" s="80" t="s">
        <v>109</v>
      </c>
      <c r="G113" s="80" t="s">
        <v>41</v>
      </c>
      <c r="H113" s="80" t="s">
        <v>178</v>
      </c>
      <c r="I113" s="80" t="s">
        <v>179</v>
      </c>
      <c r="J113" s="105" t="s">
        <v>180</v>
      </c>
      <c r="K113" s="65"/>
      <c r="L113" s="186"/>
      <c r="M113" s="186"/>
      <c r="N113" s="188"/>
      <c r="O113" s="190"/>
      <c r="P113" s="78"/>
      <c r="Q113" s="78"/>
    </row>
    <row r="114" spans="2:17" s="67" customFormat="1">
      <c r="B114" s="79"/>
      <c r="C114" s="80"/>
      <c r="D114" s="81"/>
      <c r="E114" s="80">
        <v>0</v>
      </c>
      <c r="F114" s="80">
        <v>1</v>
      </c>
      <c r="G114" s="80">
        <v>2</v>
      </c>
      <c r="H114" s="80">
        <v>3</v>
      </c>
      <c r="I114" s="80">
        <v>4</v>
      </c>
      <c r="J114" s="106">
        <v>5</v>
      </c>
      <c r="K114" s="65"/>
      <c r="L114" s="186"/>
      <c r="M114" s="186"/>
      <c r="N114" s="188"/>
      <c r="O114" s="190"/>
      <c r="P114" s="78"/>
      <c r="Q114" s="78"/>
    </row>
    <row r="115" spans="2:17">
      <c r="B115" s="17"/>
      <c r="C115" s="15"/>
      <c r="D115" s="77"/>
      <c r="E115" s="15"/>
      <c r="F115" s="15"/>
      <c r="G115" s="15"/>
      <c r="H115" s="15"/>
      <c r="I115" s="15"/>
      <c r="J115" s="101"/>
      <c r="L115" s="186"/>
      <c r="M115" s="186"/>
      <c r="N115" s="190"/>
      <c r="O115" s="190"/>
      <c r="P115" s="75"/>
      <c r="Q115" s="75"/>
    </row>
    <row r="116" spans="2:17">
      <c r="B116" s="17"/>
      <c r="C116" s="15"/>
      <c r="D116" s="77" t="s">
        <v>38</v>
      </c>
      <c r="E116" s="15" t="s">
        <v>181</v>
      </c>
      <c r="F116" s="15"/>
      <c r="G116" s="15"/>
      <c r="H116" s="15"/>
      <c r="I116" s="15"/>
      <c r="J116" s="108"/>
      <c r="K116" s="65" t="e">
        <f>HLOOKUP(J116,E117:J118,2,FALSE)</f>
        <v>#N/A</v>
      </c>
      <c r="L116" s="186">
        <v>35</v>
      </c>
      <c r="M116" s="186"/>
      <c r="N116" s="188"/>
      <c r="O116" s="190"/>
      <c r="P116" s="75"/>
      <c r="Q116" s="75"/>
    </row>
    <row r="117" spans="2:17" s="67" customFormat="1" ht="22">
      <c r="B117" s="79"/>
      <c r="C117" s="80"/>
      <c r="D117" s="81"/>
      <c r="E117" s="80" t="s">
        <v>9</v>
      </c>
      <c r="F117" s="80" t="s">
        <v>182</v>
      </c>
      <c r="G117" s="80" t="s">
        <v>183</v>
      </c>
      <c r="H117" s="80" t="s">
        <v>40</v>
      </c>
      <c r="I117" s="80" t="s">
        <v>184</v>
      </c>
      <c r="J117" s="105" t="s">
        <v>180</v>
      </c>
      <c r="K117" s="65"/>
      <c r="L117" s="186"/>
      <c r="M117" s="186"/>
      <c r="N117" s="188"/>
      <c r="O117" s="190"/>
      <c r="P117" s="78"/>
      <c r="Q117" s="78"/>
    </row>
    <row r="118" spans="2:17" s="67" customFormat="1">
      <c r="B118" s="79"/>
      <c r="C118" s="80"/>
      <c r="D118" s="81"/>
      <c r="E118" s="80">
        <v>0</v>
      </c>
      <c r="F118" s="80">
        <v>1</v>
      </c>
      <c r="G118" s="80">
        <v>2</v>
      </c>
      <c r="H118" s="80">
        <v>3</v>
      </c>
      <c r="I118" s="80">
        <v>4</v>
      </c>
      <c r="J118" s="106">
        <v>5</v>
      </c>
      <c r="K118" s="65"/>
      <c r="L118" s="186"/>
      <c r="M118" s="186"/>
      <c r="N118" s="188"/>
      <c r="O118" s="190"/>
      <c r="P118" s="78"/>
      <c r="Q118" s="78"/>
    </row>
    <row r="119" spans="2:17">
      <c r="B119" s="17"/>
      <c r="C119" s="15"/>
      <c r="D119" s="77"/>
      <c r="E119" s="15"/>
      <c r="F119" s="15"/>
      <c r="G119" s="15"/>
      <c r="H119" s="15"/>
      <c r="I119" s="15"/>
      <c r="J119" s="101"/>
      <c r="L119" s="186"/>
      <c r="M119" s="186"/>
      <c r="N119" s="188"/>
      <c r="O119" s="190"/>
      <c r="P119" s="75"/>
      <c r="Q119" s="75"/>
    </row>
    <row r="120" spans="2:17">
      <c r="B120" s="17"/>
      <c r="C120" s="15"/>
      <c r="D120" s="77" t="s">
        <v>38</v>
      </c>
      <c r="E120" s="15" t="s">
        <v>185</v>
      </c>
      <c r="F120" s="15"/>
      <c r="G120" s="15"/>
      <c r="H120" s="15"/>
      <c r="I120" s="15"/>
      <c r="J120" s="108"/>
      <c r="K120" s="65" t="e">
        <f>HLOOKUP(J120,E121:J122,2,FALSE)</f>
        <v>#N/A</v>
      </c>
      <c r="L120" s="186">
        <v>30</v>
      </c>
      <c r="M120" s="186"/>
      <c r="N120" s="188"/>
      <c r="O120" s="190"/>
      <c r="P120" s="75"/>
      <c r="Q120" s="75"/>
    </row>
    <row r="121" spans="2:17" s="67" customFormat="1" ht="22">
      <c r="B121" s="81"/>
      <c r="C121" s="82">
        <v>3</v>
      </c>
      <c r="D121" s="81"/>
      <c r="E121" s="80" t="s">
        <v>9</v>
      </c>
      <c r="F121" s="80" t="s">
        <v>182</v>
      </c>
      <c r="G121" s="80" t="s">
        <v>186</v>
      </c>
      <c r="H121" s="80" t="s">
        <v>42</v>
      </c>
      <c r="I121" s="80" t="s">
        <v>179</v>
      </c>
      <c r="J121" s="105" t="s">
        <v>187</v>
      </c>
      <c r="K121" s="65"/>
      <c r="L121" s="186"/>
      <c r="M121" s="186"/>
      <c r="N121" s="188"/>
      <c r="O121" s="190"/>
      <c r="P121" s="78"/>
      <c r="Q121" s="78"/>
    </row>
    <row r="122" spans="2:17" s="67" customFormat="1">
      <c r="B122" s="81"/>
      <c r="C122" s="82"/>
      <c r="D122" s="81"/>
      <c r="E122" s="80">
        <v>0</v>
      </c>
      <c r="F122" s="80">
        <v>1</v>
      </c>
      <c r="G122" s="80">
        <v>2</v>
      </c>
      <c r="H122" s="80">
        <v>3</v>
      </c>
      <c r="I122" s="80">
        <v>4</v>
      </c>
      <c r="J122" s="106">
        <v>5</v>
      </c>
      <c r="K122" s="65"/>
      <c r="L122" s="186"/>
      <c r="M122" s="186"/>
      <c r="N122" s="188"/>
      <c r="O122" s="190"/>
      <c r="P122" s="78"/>
      <c r="Q122" s="78"/>
    </row>
    <row r="123" spans="2:17">
      <c r="B123" s="77"/>
      <c r="C123" s="16"/>
      <c r="D123" s="77"/>
      <c r="E123" s="15"/>
      <c r="F123" s="15"/>
      <c r="G123" s="15"/>
      <c r="H123" s="15"/>
      <c r="I123" s="15"/>
      <c r="J123" s="101"/>
      <c r="L123" s="186"/>
      <c r="M123" s="186"/>
      <c r="N123" s="188"/>
      <c r="O123" s="190"/>
      <c r="P123" s="75"/>
      <c r="Q123" s="75"/>
    </row>
    <row r="124" spans="2:17">
      <c r="B124" s="77">
        <v>2</v>
      </c>
      <c r="C124" s="16" t="s">
        <v>188</v>
      </c>
      <c r="D124" s="77"/>
      <c r="E124" s="15"/>
      <c r="F124" s="15"/>
      <c r="G124" s="15"/>
      <c r="H124" s="15"/>
      <c r="I124" s="15"/>
      <c r="J124" s="103"/>
      <c r="L124" s="189">
        <v>100</v>
      </c>
      <c r="M124" s="189" t="e">
        <f>SUMPRODUCT(K125:K149,L125:L149)/500*2.5</f>
        <v>#N/A</v>
      </c>
      <c r="N124" s="189"/>
      <c r="O124" s="190"/>
      <c r="P124" s="75"/>
      <c r="Q124" s="75"/>
    </row>
    <row r="125" spans="2:17">
      <c r="B125" s="17"/>
      <c r="C125" s="15"/>
      <c r="D125" s="77" t="s">
        <v>61</v>
      </c>
      <c r="E125" s="15" t="s">
        <v>189</v>
      </c>
      <c r="F125" s="15"/>
      <c r="G125" s="15"/>
      <c r="H125" s="15"/>
      <c r="I125" s="15"/>
      <c r="J125" s="108"/>
      <c r="K125" s="65" t="e">
        <f>HLOOKUP(J125,E126:J127,2,FALSE)</f>
        <v>#N/A</v>
      </c>
      <c r="L125" s="186">
        <v>15</v>
      </c>
      <c r="M125" s="186"/>
      <c r="N125" s="188"/>
      <c r="O125" s="190"/>
      <c r="P125" s="75"/>
      <c r="Q125" s="75"/>
    </row>
    <row r="126" spans="2:17" s="67" customFormat="1" ht="22">
      <c r="B126" s="79"/>
      <c r="C126" s="80"/>
      <c r="D126" s="81"/>
      <c r="E126" s="80" t="s">
        <v>93</v>
      </c>
      <c r="F126" s="80" t="s">
        <v>12</v>
      </c>
      <c r="G126" s="80" t="s">
        <v>23</v>
      </c>
      <c r="H126" s="80" t="s">
        <v>14</v>
      </c>
      <c r="I126" s="80" t="s">
        <v>190</v>
      </c>
      <c r="J126" s="105" t="s">
        <v>128</v>
      </c>
      <c r="K126" s="65"/>
      <c r="L126" s="186"/>
      <c r="M126" s="186"/>
      <c r="N126" s="188"/>
      <c r="O126" s="190"/>
      <c r="P126" s="78"/>
      <c r="Q126" s="78"/>
    </row>
    <row r="127" spans="2:17" s="67" customFormat="1">
      <c r="B127" s="79"/>
      <c r="C127" s="80"/>
      <c r="D127" s="81"/>
      <c r="E127" s="80">
        <v>0</v>
      </c>
      <c r="F127" s="80">
        <v>1</v>
      </c>
      <c r="G127" s="80">
        <v>2</v>
      </c>
      <c r="H127" s="80">
        <v>3</v>
      </c>
      <c r="I127" s="80">
        <v>4</v>
      </c>
      <c r="J127" s="106">
        <v>5</v>
      </c>
      <c r="K127" s="65"/>
      <c r="L127" s="186"/>
      <c r="M127" s="186"/>
      <c r="N127" s="188"/>
      <c r="O127" s="190"/>
      <c r="P127" s="78"/>
      <c r="Q127" s="78"/>
    </row>
    <row r="128" spans="2:17">
      <c r="B128" s="17"/>
      <c r="C128" s="15"/>
      <c r="D128" s="77"/>
      <c r="E128" s="15"/>
      <c r="F128" s="15"/>
      <c r="G128" s="15"/>
      <c r="H128" s="15"/>
      <c r="I128" s="15"/>
      <c r="J128" s="101"/>
      <c r="L128" s="186"/>
      <c r="M128" s="186"/>
      <c r="N128" s="190"/>
      <c r="O128" s="190"/>
      <c r="P128" s="75"/>
      <c r="Q128" s="75"/>
    </row>
    <row r="129" spans="2:17">
      <c r="B129" s="17"/>
      <c r="C129" s="15"/>
      <c r="D129" s="77" t="s">
        <v>191</v>
      </c>
      <c r="E129" s="15" t="s">
        <v>192</v>
      </c>
      <c r="F129" s="15"/>
      <c r="G129" s="15"/>
      <c r="H129" s="15"/>
      <c r="I129" s="15"/>
      <c r="J129" s="108"/>
      <c r="K129" s="65" t="e">
        <f>HLOOKUP(J129,E130:J131,2,FALSE)</f>
        <v>#N/A</v>
      </c>
      <c r="L129" s="186">
        <v>15</v>
      </c>
      <c r="M129" s="186"/>
      <c r="N129" s="188"/>
      <c r="O129" s="190"/>
      <c r="P129" s="75"/>
      <c r="Q129" s="75"/>
    </row>
    <row r="130" spans="2:17" s="67" customFormat="1" ht="22">
      <c r="B130" s="79"/>
      <c r="C130" s="80"/>
      <c r="D130" s="81"/>
      <c r="E130" s="80" t="s">
        <v>93</v>
      </c>
      <c r="F130" s="80" t="s">
        <v>12</v>
      </c>
      <c r="G130" s="80" t="s">
        <v>23</v>
      </c>
      <c r="H130" s="80" t="s">
        <v>14</v>
      </c>
      <c r="I130" s="80" t="s">
        <v>190</v>
      </c>
      <c r="J130" s="105" t="s">
        <v>128</v>
      </c>
      <c r="K130" s="65"/>
      <c r="L130" s="186"/>
      <c r="M130" s="186"/>
      <c r="N130" s="188"/>
      <c r="O130" s="190"/>
      <c r="P130" s="78"/>
      <c r="Q130" s="78"/>
    </row>
    <row r="131" spans="2:17" s="67" customFormat="1">
      <c r="B131" s="79"/>
      <c r="C131" s="80"/>
      <c r="D131" s="81"/>
      <c r="E131" s="80">
        <v>0</v>
      </c>
      <c r="F131" s="80">
        <v>1</v>
      </c>
      <c r="G131" s="80">
        <v>2</v>
      </c>
      <c r="H131" s="80">
        <v>3</v>
      </c>
      <c r="I131" s="80">
        <v>4</v>
      </c>
      <c r="J131" s="106">
        <v>5</v>
      </c>
      <c r="K131" s="65"/>
      <c r="L131" s="186"/>
      <c r="M131" s="186"/>
      <c r="N131" s="188"/>
      <c r="O131" s="190"/>
      <c r="P131" s="78"/>
      <c r="Q131" s="78"/>
    </row>
    <row r="132" spans="2:17">
      <c r="B132" s="17"/>
      <c r="C132" s="15"/>
      <c r="D132" s="77"/>
      <c r="E132" s="15"/>
      <c r="F132" s="15"/>
      <c r="G132" s="15"/>
      <c r="H132" s="15"/>
      <c r="I132" s="15"/>
      <c r="J132" s="101"/>
      <c r="L132" s="186"/>
      <c r="M132" s="186"/>
      <c r="N132" s="190"/>
      <c r="O132" s="190"/>
      <c r="P132" s="75"/>
      <c r="Q132" s="75"/>
    </row>
    <row r="133" spans="2:17">
      <c r="B133" s="17"/>
      <c r="C133" s="15"/>
      <c r="D133" s="77" t="s">
        <v>193</v>
      </c>
      <c r="E133" s="15" t="s">
        <v>24</v>
      </c>
      <c r="F133" s="15"/>
      <c r="G133" s="15"/>
      <c r="H133" s="15"/>
      <c r="I133" s="15"/>
      <c r="J133" s="108"/>
      <c r="K133" s="65" t="e">
        <f>HLOOKUP(J133,E134:J135,2,FALSE)</f>
        <v>#N/A</v>
      </c>
      <c r="L133" s="186">
        <v>15</v>
      </c>
      <c r="M133" s="186"/>
      <c r="N133" s="188"/>
      <c r="O133" s="190"/>
      <c r="P133" s="75"/>
      <c r="Q133" s="75"/>
    </row>
    <row r="134" spans="2:17" s="67" customFormat="1" ht="22">
      <c r="B134" s="79"/>
      <c r="C134" s="80"/>
      <c r="D134" s="81"/>
      <c r="E134" s="80" t="s">
        <v>93</v>
      </c>
      <c r="F134" s="80" t="s">
        <v>12</v>
      </c>
      <c r="G134" s="80" t="s">
        <v>25</v>
      </c>
      <c r="H134" s="80" t="s">
        <v>26</v>
      </c>
      <c r="I134" s="80" t="s">
        <v>27</v>
      </c>
      <c r="J134" s="105" t="s">
        <v>28</v>
      </c>
      <c r="K134" s="65"/>
      <c r="L134" s="186"/>
      <c r="M134" s="186"/>
      <c r="N134" s="188"/>
      <c r="O134" s="190"/>
      <c r="P134" s="78"/>
      <c r="Q134" s="78"/>
    </row>
    <row r="135" spans="2:17" s="67" customFormat="1">
      <c r="B135" s="79"/>
      <c r="C135" s="80"/>
      <c r="D135" s="81"/>
      <c r="E135" s="80">
        <v>0</v>
      </c>
      <c r="F135" s="80">
        <v>1</v>
      </c>
      <c r="G135" s="80">
        <v>2</v>
      </c>
      <c r="H135" s="80">
        <v>3</v>
      </c>
      <c r="I135" s="80">
        <v>4</v>
      </c>
      <c r="J135" s="106">
        <v>5</v>
      </c>
      <c r="K135" s="65"/>
      <c r="L135" s="186"/>
      <c r="M135" s="186"/>
      <c r="N135" s="188"/>
      <c r="O135" s="190"/>
      <c r="P135" s="78"/>
      <c r="Q135" s="78"/>
    </row>
    <row r="136" spans="2:17">
      <c r="B136" s="17"/>
      <c r="C136" s="15"/>
      <c r="D136" s="77"/>
      <c r="E136" s="15"/>
      <c r="F136" s="15"/>
      <c r="G136" s="15"/>
      <c r="H136" s="15"/>
      <c r="I136" s="15"/>
      <c r="J136" s="101"/>
      <c r="L136" s="186"/>
      <c r="M136" s="186"/>
      <c r="N136" s="190"/>
      <c r="O136" s="190"/>
      <c r="P136" s="75"/>
      <c r="Q136" s="75"/>
    </row>
    <row r="137" spans="2:17">
      <c r="B137" s="17"/>
      <c r="C137" s="15"/>
      <c r="D137" s="77" t="s">
        <v>193</v>
      </c>
      <c r="E137" s="15" t="s">
        <v>194</v>
      </c>
      <c r="F137" s="15"/>
      <c r="G137" s="15"/>
      <c r="H137" s="15"/>
      <c r="I137" s="15"/>
      <c r="J137" s="108"/>
      <c r="K137" s="65" t="e">
        <f>HLOOKUP(J137,E138:J139,2,FALSE)</f>
        <v>#N/A</v>
      </c>
      <c r="L137" s="186">
        <v>15</v>
      </c>
      <c r="M137" s="186"/>
      <c r="N137" s="188"/>
      <c r="O137" s="190"/>
      <c r="P137" s="75"/>
      <c r="Q137" s="75"/>
    </row>
    <row r="138" spans="2:17" s="67" customFormat="1" ht="22">
      <c r="B138" s="79"/>
      <c r="C138" s="80"/>
      <c r="D138" s="81"/>
      <c r="E138" s="80" t="s">
        <v>29</v>
      </c>
      <c r="F138" s="80" t="s">
        <v>30</v>
      </c>
      <c r="G138" s="80" t="s">
        <v>31</v>
      </c>
      <c r="H138" s="80" t="s">
        <v>195</v>
      </c>
      <c r="I138" s="80" t="s">
        <v>190</v>
      </c>
      <c r="J138" s="105" t="s">
        <v>128</v>
      </c>
      <c r="K138" s="65"/>
      <c r="L138" s="186"/>
      <c r="M138" s="186"/>
      <c r="N138" s="188"/>
      <c r="O138" s="190"/>
      <c r="P138" s="78"/>
      <c r="Q138" s="78"/>
    </row>
    <row r="139" spans="2:17" s="67" customFormat="1">
      <c r="B139" s="79"/>
      <c r="C139" s="80"/>
      <c r="D139" s="81"/>
      <c r="E139" s="80">
        <v>0</v>
      </c>
      <c r="F139" s="80">
        <v>1</v>
      </c>
      <c r="G139" s="80">
        <v>2</v>
      </c>
      <c r="H139" s="80">
        <v>3</v>
      </c>
      <c r="I139" s="80">
        <v>4</v>
      </c>
      <c r="J139" s="106">
        <v>5</v>
      </c>
      <c r="K139" s="65"/>
      <c r="L139" s="186"/>
      <c r="M139" s="186"/>
      <c r="N139" s="188"/>
      <c r="O139" s="190"/>
      <c r="P139" s="78"/>
      <c r="Q139" s="78"/>
    </row>
    <row r="140" spans="2:17">
      <c r="B140" s="17"/>
      <c r="C140" s="15"/>
      <c r="D140" s="77"/>
      <c r="E140" s="15"/>
      <c r="F140" s="15"/>
      <c r="G140" s="15"/>
      <c r="H140" s="15"/>
      <c r="I140" s="15"/>
      <c r="J140" s="101"/>
      <c r="L140" s="186"/>
      <c r="M140" s="186"/>
      <c r="N140" s="190"/>
      <c r="O140" s="190"/>
      <c r="P140" s="75"/>
      <c r="Q140" s="75"/>
    </row>
    <row r="141" spans="2:17">
      <c r="B141" s="17"/>
      <c r="C141" s="15"/>
      <c r="D141" s="77" t="s">
        <v>193</v>
      </c>
      <c r="E141" s="15" t="s">
        <v>32</v>
      </c>
      <c r="F141" s="15"/>
      <c r="G141" s="15"/>
      <c r="H141" s="15"/>
      <c r="I141" s="15"/>
      <c r="J141" s="108"/>
      <c r="K141" s="65" t="e">
        <f>HLOOKUP(J141,E142:J143,2,FALSE)</f>
        <v>#N/A</v>
      </c>
      <c r="L141" s="186">
        <v>15</v>
      </c>
      <c r="M141" s="186"/>
      <c r="N141" s="188"/>
      <c r="O141" s="190"/>
      <c r="P141" s="75"/>
      <c r="Q141" s="75"/>
    </row>
    <row r="142" spans="2:17" s="67" customFormat="1" ht="22">
      <c r="B142" s="79"/>
      <c r="C142" s="80"/>
      <c r="D142" s="81"/>
      <c r="E142" s="80" t="s">
        <v>29</v>
      </c>
      <c r="F142" s="80" t="s">
        <v>30</v>
      </c>
      <c r="G142" s="80" t="s">
        <v>31</v>
      </c>
      <c r="H142" s="80" t="s">
        <v>195</v>
      </c>
      <c r="I142" s="80" t="s">
        <v>190</v>
      </c>
      <c r="J142" s="105" t="s">
        <v>128</v>
      </c>
      <c r="K142" s="65"/>
      <c r="L142" s="186"/>
      <c r="M142" s="186"/>
      <c r="N142" s="188"/>
      <c r="O142" s="190"/>
      <c r="P142" s="78"/>
      <c r="Q142" s="78"/>
    </row>
    <row r="143" spans="2:17" s="67" customFormat="1">
      <c r="B143" s="79"/>
      <c r="C143" s="80"/>
      <c r="D143" s="81"/>
      <c r="E143" s="80">
        <v>0</v>
      </c>
      <c r="F143" s="80">
        <v>1</v>
      </c>
      <c r="G143" s="80">
        <v>2</v>
      </c>
      <c r="H143" s="80">
        <v>3</v>
      </c>
      <c r="I143" s="80">
        <v>4</v>
      </c>
      <c r="J143" s="106">
        <v>5</v>
      </c>
      <c r="K143" s="65"/>
      <c r="L143" s="186"/>
      <c r="M143" s="186"/>
      <c r="N143" s="188"/>
      <c r="O143" s="190"/>
      <c r="P143" s="78"/>
      <c r="Q143" s="78"/>
    </row>
    <row r="144" spans="2:17">
      <c r="B144" s="17"/>
      <c r="C144" s="15"/>
      <c r="D144" s="77"/>
      <c r="E144" s="15"/>
      <c r="F144" s="15"/>
      <c r="G144" s="15"/>
      <c r="H144" s="15"/>
      <c r="I144" s="15"/>
      <c r="J144" s="101"/>
      <c r="L144" s="186"/>
      <c r="M144" s="186"/>
      <c r="N144" s="190"/>
      <c r="O144" s="190"/>
      <c r="P144" s="75"/>
      <c r="Q144" s="75"/>
    </row>
    <row r="145" spans="2:17">
      <c r="B145" s="17"/>
      <c r="C145" s="15"/>
      <c r="D145" s="77" t="s">
        <v>193</v>
      </c>
      <c r="E145" s="15" t="s">
        <v>33</v>
      </c>
      <c r="F145" s="15"/>
      <c r="G145" s="15"/>
      <c r="H145" s="15"/>
      <c r="I145" s="15"/>
      <c r="J145" s="108"/>
      <c r="K145" s="65" t="e">
        <f>HLOOKUP(J145,E146:J147,2,FALSE)</f>
        <v>#N/A</v>
      </c>
      <c r="L145" s="186">
        <v>15</v>
      </c>
      <c r="M145" s="186"/>
      <c r="N145" s="188"/>
      <c r="O145" s="190"/>
      <c r="P145" s="75"/>
      <c r="Q145" s="75"/>
    </row>
    <row r="146" spans="2:17" s="67" customFormat="1" ht="22">
      <c r="B146" s="79"/>
      <c r="C146" s="80"/>
      <c r="D146" s="81"/>
      <c r="E146" s="80" t="s">
        <v>29</v>
      </c>
      <c r="F146" s="80" t="s">
        <v>30</v>
      </c>
      <c r="G146" s="80" t="s">
        <v>31</v>
      </c>
      <c r="H146" s="80" t="s">
        <v>195</v>
      </c>
      <c r="I146" s="80" t="s">
        <v>190</v>
      </c>
      <c r="J146" s="105" t="s">
        <v>128</v>
      </c>
      <c r="K146" s="65"/>
      <c r="L146" s="186"/>
      <c r="M146" s="186"/>
      <c r="N146" s="188"/>
      <c r="O146" s="190"/>
      <c r="P146" s="78"/>
      <c r="Q146" s="78"/>
    </row>
    <row r="147" spans="2:17" s="67" customFormat="1">
      <c r="B147" s="79"/>
      <c r="C147" s="80"/>
      <c r="D147" s="81"/>
      <c r="E147" s="80">
        <v>0</v>
      </c>
      <c r="F147" s="80">
        <v>1</v>
      </c>
      <c r="G147" s="80">
        <v>2</v>
      </c>
      <c r="H147" s="80">
        <v>3</v>
      </c>
      <c r="I147" s="80">
        <v>4</v>
      </c>
      <c r="J147" s="106">
        <v>5</v>
      </c>
      <c r="K147" s="65"/>
      <c r="L147" s="186"/>
      <c r="M147" s="186"/>
      <c r="N147" s="188"/>
      <c r="O147" s="190"/>
      <c r="P147" s="78"/>
      <c r="Q147" s="78"/>
    </row>
    <row r="148" spans="2:17">
      <c r="B148" s="17"/>
      <c r="C148" s="15"/>
      <c r="D148" s="77"/>
      <c r="E148" s="15"/>
      <c r="F148" s="15"/>
      <c r="G148" s="15"/>
      <c r="H148" s="15"/>
      <c r="I148" s="15"/>
      <c r="J148" s="101"/>
      <c r="L148" s="186"/>
      <c r="M148" s="186"/>
      <c r="N148" s="190"/>
      <c r="O148" s="190"/>
      <c r="P148" s="75"/>
      <c r="Q148" s="75"/>
    </row>
    <row r="149" spans="2:17">
      <c r="B149" s="17"/>
      <c r="C149" s="15"/>
      <c r="D149" s="77" t="s">
        <v>193</v>
      </c>
      <c r="E149" s="15" t="s">
        <v>34</v>
      </c>
      <c r="F149" s="15"/>
      <c r="G149" s="15"/>
      <c r="H149" s="15"/>
      <c r="I149" s="15"/>
      <c r="J149" s="108"/>
      <c r="K149" s="65" t="e">
        <f>HLOOKUP(J149,E150:J151,2,FALSE)</f>
        <v>#N/A</v>
      </c>
      <c r="L149" s="186">
        <v>10</v>
      </c>
      <c r="M149" s="186"/>
      <c r="N149" s="188"/>
      <c r="O149" s="190"/>
      <c r="P149" s="75"/>
      <c r="Q149" s="75"/>
    </row>
    <row r="150" spans="2:17" s="67" customFormat="1" ht="22">
      <c r="B150" s="81"/>
      <c r="C150" s="82"/>
      <c r="D150" s="81"/>
      <c r="E150" s="80" t="s">
        <v>29</v>
      </c>
      <c r="F150" s="80" t="s">
        <v>30</v>
      </c>
      <c r="G150" s="80" t="s">
        <v>31</v>
      </c>
      <c r="H150" s="80" t="s">
        <v>195</v>
      </c>
      <c r="I150" s="80" t="s">
        <v>190</v>
      </c>
      <c r="J150" s="105" t="s">
        <v>128</v>
      </c>
      <c r="K150" s="65"/>
      <c r="L150" s="186"/>
      <c r="M150" s="186"/>
      <c r="N150" s="188"/>
      <c r="O150" s="190"/>
      <c r="P150" s="78"/>
      <c r="Q150" s="78"/>
    </row>
    <row r="151" spans="2:17" s="67" customFormat="1">
      <c r="B151" s="81"/>
      <c r="C151" s="82"/>
      <c r="D151" s="81"/>
      <c r="E151" s="80">
        <v>0</v>
      </c>
      <c r="F151" s="80">
        <v>1</v>
      </c>
      <c r="G151" s="80">
        <v>2</v>
      </c>
      <c r="H151" s="80">
        <v>3</v>
      </c>
      <c r="I151" s="80">
        <v>4</v>
      </c>
      <c r="J151" s="106">
        <v>5</v>
      </c>
      <c r="K151" s="65"/>
      <c r="L151" s="186"/>
      <c r="M151" s="186"/>
      <c r="N151" s="188"/>
      <c r="O151" s="190"/>
      <c r="P151" s="78"/>
      <c r="Q151" s="78"/>
    </row>
    <row r="152" spans="2:17">
      <c r="B152" s="77"/>
      <c r="C152" s="16"/>
      <c r="D152" s="77"/>
      <c r="E152" s="15"/>
      <c r="F152" s="15"/>
      <c r="G152" s="15"/>
      <c r="H152" s="15"/>
      <c r="I152" s="15"/>
      <c r="J152" s="103"/>
      <c r="L152" s="186"/>
      <c r="M152" s="186"/>
      <c r="N152" s="190"/>
      <c r="O152" s="190"/>
      <c r="P152" s="75"/>
      <c r="Q152" s="75"/>
    </row>
    <row r="153" spans="2:17">
      <c r="B153" s="77">
        <v>3</v>
      </c>
      <c r="C153" s="16"/>
      <c r="D153" s="77"/>
      <c r="E153" s="15"/>
      <c r="F153" s="15"/>
      <c r="G153" s="15"/>
      <c r="H153" s="15"/>
      <c r="I153" s="15"/>
      <c r="J153" s="103"/>
      <c r="L153" s="186">
        <v>100</v>
      </c>
      <c r="M153" s="186" t="e">
        <f>SUMPRODUCT(K154:K178,L154:L178)/500</f>
        <v>#N/A</v>
      </c>
      <c r="N153" s="189"/>
      <c r="O153" s="190"/>
      <c r="P153" s="75"/>
      <c r="Q153" s="75"/>
    </row>
    <row r="154" spans="2:17">
      <c r="B154" s="77"/>
      <c r="C154" s="15"/>
      <c r="D154" s="77" t="s">
        <v>69</v>
      </c>
      <c r="E154" s="15" t="s">
        <v>196</v>
      </c>
      <c r="F154" s="15"/>
      <c r="G154" s="15"/>
      <c r="H154" s="15"/>
      <c r="I154" s="15"/>
      <c r="J154" s="109"/>
      <c r="K154" s="65" t="e">
        <f>HLOOKUP(J154,E155:J156,2,FALSE)</f>
        <v>#N/A</v>
      </c>
      <c r="L154" s="186">
        <v>20</v>
      </c>
      <c r="M154" s="186"/>
      <c r="N154" s="188"/>
      <c r="O154" s="190"/>
      <c r="P154" s="75"/>
      <c r="Q154" s="75"/>
    </row>
    <row r="155" spans="2:17" s="67" customFormat="1" ht="22">
      <c r="B155" s="81"/>
      <c r="C155" s="80"/>
      <c r="D155" s="81"/>
      <c r="E155" s="80" t="s">
        <v>197</v>
      </c>
      <c r="F155" s="80" t="s">
        <v>71</v>
      </c>
      <c r="G155" s="80" t="s">
        <v>72</v>
      </c>
      <c r="H155" s="80" t="s">
        <v>64</v>
      </c>
      <c r="I155" s="80" t="s">
        <v>73</v>
      </c>
      <c r="J155" s="105" t="s">
        <v>74</v>
      </c>
      <c r="K155" s="65"/>
      <c r="L155" s="186"/>
      <c r="M155" s="186"/>
      <c r="N155" s="188"/>
      <c r="O155" s="190"/>
      <c r="P155" s="78"/>
      <c r="Q155" s="78"/>
    </row>
    <row r="156" spans="2:17" s="67" customFormat="1">
      <c r="B156" s="81"/>
      <c r="C156" s="80"/>
      <c r="D156" s="81"/>
      <c r="E156" s="80">
        <v>0</v>
      </c>
      <c r="F156" s="80">
        <v>1</v>
      </c>
      <c r="G156" s="80">
        <v>2</v>
      </c>
      <c r="H156" s="80">
        <v>3</v>
      </c>
      <c r="I156" s="80">
        <v>4</v>
      </c>
      <c r="J156" s="106">
        <v>5</v>
      </c>
      <c r="K156" s="65"/>
      <c r="L156" s="186"/>
      <c r="M156" s="186"/>
      <c r="N156" s="188"/>
      <c r="O156" s="190"/>
      <c r="P156" s="78"/>
      <c r="Q156" s="78"/>
    </row>
    <row r="157" spans="2:17">
      <c r="B157" s="77"/>
      <c r="C157" s="15"/>
      <c r="D157" s="77"/>
      <c r="E157" s="15"/>
      <c r="F157" s="15"/>
      <c r="G157" s="15"/>
      <c r="H157" s="15"/>
      <c r="I157" s="15"/>
      <c r="J157" s="101"/>
      <c r="L157" s="186"/>
      <c r="M157" s="186"/>
      <c r="N157" s="190"/>
      <c r="O157" s="190"/>
      <c r="P157" s="75"/>
      <c r="Q157" s="75"/>
    </row>
    <row r="158" spans="2:17">
      <c r="B158" s="77"/>
      <c r="C158" s="15"/>
      <c r="D158" s="77" t="s">
        <v>69</v>
      </c>
      <c r="E158" s="15" t="s">
        <v>75</v>
      </c>
      <c r="F158" s="15"/>
      <c r="G158" s="15"/>
      <c r="H158" s="15"/>
      <c r="I158" s="15"/>
      <c r="J158" s="108"/>
      <c r="K158" s="65" t="e">
        <f>HLOOKUP(J158,E159:J160,2,FALSE)</f>
        <v>#N/A</v>
      </c>
      <c r="L158" s="186">
        <v>15</v>
      </c>
      <c r="M158" s="186"/>
      <c r="N158" s="188"/>
      <c r="O158" s="190"/>
      <c r="P158" s="75"/>
      <c r="Q158" s="75"/>
    </row>
    <row r="159" spans="2:17" s="67" customFormat="1" ht="22">
      <c r="B159" s="81"/>
      <c r="C159" s="80"/>
      <c r="D159" s="81"/>
      <c r="E159" s="80" t="s">
        <v>198</v>
      </c>
      <c r="F159" s="80" t="s">
        <v>76</v>
      </c>
      <c r="G159" s="80" t="s">
        <v>77</v>
      </c>
      <c r="H159" s="80" t="s">
        <v>78</v>
      </c>
      <c r="I159" s="80" t="s">
        <v>79</v>
      </c>
      <c r="J159" s="105" t="s">
        <v>55</v>
      </c>
      <c r="K159" s="65"/>
      <c r="L159" s="186"/>
      <c r="M159" s="186"/>
      <c r="N159" s="188"/>
      <c r="O159" s="190"/>
      <c r="P159" s="78"/>
      <c r="Q159" s="78"/>
    </row>
    <row r="160" spans="2:17" s="67" customFormat="1">
      <c r="B160" s="81"/>
      <c r="C160" s="80"/>
      <c r="D160" s="81"/>
      <c r="E160" s="80">
        <v>0</v>
      </c>
      <c r="F160" s="80">
        <v>1</v>
      </c>
      <c r="G160" s="80">
        <v>2</v>
      </c>
      <c r="H160" s="80">
        <v>3</v>
      </c>
      <c r="I160" s="80">
        <v>4</v>
      </c>
      <c r="J160" s="106">
        <v>5</v>
      </c>
      <c r="K160" s="65"/>
      <c r="L160" s="186"/>
      <c r="M160" s="186"/>
      <c r="N160" s="188"/>
      <c r="O160" s="190"/>
      <c r="P160" s="78"/>
      <c r="Q160" s="78"/>
    </row>
    <row r="161" spans="2:17">
      <c r="B161" s="77"/>
      <c r="C161" s="15"/>
      <c r="D161" s="77"/>
      <c r="E161" s="15"/>
      <c r="F161" s="15"/>
      <c r="G161" s="15"/>
      <c r="H161" s="15"/>
      <c r="I161" s="15"/>
      <c r="J161" s="101"/>
      <c r="L161" s="186"/>
      <c r="M161" s="186"/>
      <c r="N161" s="190"/>
      <c r="O161" s="190"/>
      <c r="P161" s="75"/>
      <c r="Q161" s="75"/>
    </row>
    <row r="162" spans="2:17">
      <c r="B162" s="77"/>
      <c r="C162" s="15"/>
      <c r="D162" s="77" t="s">
        <v>15</v>
      </c>
      <c r="E162" s="15" t="s">
        <v>16</v>
      </c>
      <c r="F162" s="15"/>
      <c r="G162" s="15"/>
      <c r="H162" s="15"/>
      <c r="I162" s="15"/>
      <c r="J162" s="108"/>
      <c r="K162" s="65" t="e">
        <f>HLOOKUP(J162,E163:J164,2,FALSE)</f>
        <v>#N/A</v>
      </c>
      <c r="L162" s="186">
        <v>15</v>
      </c>
      <c r="M162" s="186"/>
      <c r="N162" s="188"/>
      <c r="O162" s="190"/>
      <c r="P162" s="75"/>
      <c r="Q162" s="75"/>
    </row>
    <row r="163" spans="2:17" s="67" customFormat="1" ht="22">
      <c r="B163" s="81"/>
      <c r="C163" s="80"/>
      <c r="D163" s="81"/>
      <c r="E163" s="80" t="s">
        <v>199</v>
      </c>
      <c r="F163" s="80" t="s">
        <v>17</v>
      </c>
      <c r="G163" s="80" t="s">
        <v>18</v>
      </c>
      <c r="H163" s="80" t="s">
        <v>19</v>
      </c>
      <c r="I163" s="80" t="s">
        <v>20</v>
      </c>
      <c r="J163" s="105" t="s">
        <v>21</v>
      </c>
      <c r="K163" s="65"/>
      <c r="L163" s="186"/>
      <c r="M163" s="186"/>
      <c r="N163" s="188"/>
      <c r="O163" s="190"/>
      <c r="P163" s="78"/>
      <c r="Q163" s="78"/>
    </row>
    <row r="164" spans="2:17" s="67" customFormat="1">
      <c r="B164" s="81"/>
      <c r="C164" s="80"/>
      <c r="D164" s="81"/>
      <c r="E164" s="80">
        <v>0</v>
      </c>
      <c r="F164" s="80">
        <v>1</v>
      </c>
      <c r="G164" s="80">
        <v>2</v>
      </c>
      <c r="H164" s="80">
        <v>3</v>
      </c>
      <c r="I164" s="80">
        <v>4</v>
      </c>
      <c r="J164" s="106">
        <v>5</v>
      </c>
      <c r="K164" s="65"/>
      <c r="L164" s="186"/>
      <c r="M164" s="186"/>
      <c r="N164" s="188"/>
      <c r="O164" s="190"/>
      <c r="P164" s="78"/>
      <c r="Q164" s="78"/>
    </row>
    <row r="165" spans="2:17">
      <c r="B165" s="77"/>
      <c r="C165" s="15"/>
      <c r="D165" s="77"/>
      <c r="E165" s="15"/>
      <c r="F165" s="15"/>
      <c r="G165" s="15"/>
      <c r="H165" s="15"/>
      <c r="I165" s="15"/>
      <c r="J165" s="101"/>
      <c r="L165" s="186"/>
      <c r="M165" s="186"/>
      <c r="N165" s="190"/>
      <c r="O165" s="190"/>
      <c r="P165" s="75"/>
      <c r="Q165" s="75"/>
    </row>
    <row r="166" spans="2:17">
      <c r="B166" s="77"/>
      <c r="C166" s="15"/>
      <c r="D166" s="77" t="s">
        <v>58</v>
      </c>
      <c r="E166" s="15" t="s">
        <v>59</v>
      </c>
      <c r="F166" s="15"/>
      <c r="G166" s="15"/>
      <c r="H166" s="15"/>
      <c r="I166" s="15"/>
      <c r="J166" s="108"/>
      <c r="K166" s="65" t="e">
        <f>HLOOKUP(J166,E167:J168,2,FALSE)</f>
        <v>#N/A</v>
      </c>
      <c r="L166" s="186">
        <v>15</v>
      </c>
      <c r="M166" s="186"/>
      <c r="N166" s="188"/>
      <c r="O166" s="190"/>
      <c r="P166" s="75"/>
      <c r="Q166" s="75"/>
    </row>
    <row r="167" spans="2:17" s="67" customFormat="1" ht="22">
      <c r="B167" s="81"/>
      <c r="C167" s="80"/>
      <c r="D167" s="81"/>
      <c r="E167" s="80" t="s">
        <v>199</v>
      </c>
      <c r="F167" s="80" t="s">
        <v>17</v>
      </c>
      <c r="G167" s="80" t="s">
        <v>18</v>
      </c>
      <c r="H167" s="80" t="s">
        <v>19</v>
      </c>
      <c r="I167" s="80" t="s">
        <v>20</v>
      </c>
      <c r="J167" s="105" t="s">
        <v>21</v>
      </c>
      <c r="K167" s="65"/>
      <c r="L167" s="186"/>
      <c r="M167" s="186"/>
      <c r="N167" s="188"/>
      <c r="O167" s="190"/>
      <c r="P167" s="78"/>
      <c r="Q167" s="78"/>
    </row>
    <row r="168" spans="2:17" s="67" customFormat="1">
      <c r="B168" s="81"/>
      <c r="C168" s="80"/>
      <c r="D168" s="81"/>
      <c r="E168" s="80">
        <v>0</v>
      </c>
      <c r="F168" s="80">
        <v>1</v>
      </c>
      <c r="G168" s="80">
        <v>2</v>
      </c>
      <c r="H168" s="80">
        <v>3</v>
      </c>
      <c r="I168" s="80">
        <v>4</v>
      </c>
      <c r="J168" s="106">
        <v>5</v>
      </c>
      <c r="K168" s="65"/>
      <c r="L168" s="186"/>
      <c r="M168" s="186"/>
      <c r="N168" s="188"/>
      <c r="O168" s="190"/>
      <c r="P168" s="78"/>
      <c r="Q168" s="78"/>
    </row>
    <row r="169" spans="2:17">
      <c r="B169" s="77"/>
      <c r="C169" s="15"/>
      <c r="D169" s="77"/>
      <c r="E169" s="15"/>
      <c r="F169" s="15"/>
      <c r="G169" s="15"/>
      <c r="H169" s="15"/>
      <c r="I169" s="15"/>
      <c r="J169" s="101"/>
      <c r="L169" s="186"/>
      <c r="M169" s="186"/>
      <c r="N169" s="190"/>
      <c r="O169" s="190"/>
      <c r="P169" s="75"/>
      <c r="Q169" s="75"/>
    </row>
    <row r="170" spans="2:17">
      <c r="B170" s="77"/>
      <c r="C170" s="15"/>
      <c r="D170" s="77" t="s">
        <v>15</v>
      </c>
      <c r="E170" s="15" t="s">
        <v>200</v>
      </c>
      <c r="F170" s="15"/>
      <c r="G170" s="15"/>
      <c r="H170" s="15"/>
      <c r="I170" s="15"/>
      <c r="J170" s="108"/>
      <c r="K170" s="65" t="e">
        <f>HLOOKUP(J170,E171:J172,2,FALSE)</f>
        <v>#N/A</v>
      </c>
      <c r="L170" s="186">
        <v>15</v>
      </c>
      <c r="M170" s="186"/>
      <c r="N170" s="188"/>
      <c r="O170" s="190"/>
      <c r="P170" s="75"/>
      <c r="Q170" s="75"/>
    </row>
    <row r="171" spans="2:17" s="67" customFormat="1" ht="22">
      <c r="B171" s="81"/>
      <c r="C171" s="80"/>
      <c r="D171" s="81"/>
      <c r="E171" s="80" t="s">
        <v>199</v>
      </c>
      <c r="F171" s="80" t="s">
        <v>17</v>
      </c>
      <c r="G171" s="80" t="s">
        <v>18</v>
      </c>
      <c r="H171" s="80" t="s">
        <v>19</v>
      </c>
      <c r="I171" s="80" t="s">
        <v>20</v>
      </c>
      <c r="J171" s="105" t="s">
        <v>21</v>
      </c>
      <c r="K171" s="65"/>
      <c r="L171" s="186"/>
      <c r="M171" s="186"/>
      <c r="N171" s="188"/>
      <c r="O171" s="190"/>
      <c r="P171" s="78"/>
      <c r="Q171" s="78"/>
    </row>
    <row r="172" spans="2:17" s="67" customFormat="1">
      <c r="B172" s="81"/>
      <c r="C172" s="80"/>
      <c r="D172" s="81"/>
      <c r="E172" s="80">
        <v>0</v>
      </c>
      <c r="F172" s="80">
        <v>1</v>
      </c>
      <c r="G172" s="80">
        <v>2</v>
      </c>
      <c r="H172" s="80">
        <v>3</v>
      </c>
      <c r="I172" s="80">
        <v>4</v>
      </c>
      <c r="J172" s="106">
        <v>5</v>
      </c>
      <c r="K172" s="65"/>
      <c r="L172" s="186"/>
      <c r="M172" s="186"/>
      <c r="N172" s="188"/>
      <c r="O172" s="190"/>
      <c r="P172" s="78"/>
      <c r="Q172" s="78"/>
    </row>
    <row r="173" spans="2:17">
      <c r="B173" s="77"/>
      <c r="C173" s="15"/>
      <c r="D173" s="77"/>
      <c r="E173" s="15"/>
      <c r="F173" s="15"/>
      <c r="G173" s="15"/>
      <c r="H173" s="15"/>
      <c r="I173" s="15"/>
      <c r="J173" s="101"/>
      <c r="L173" s="186"/>
      <c r="M173" s="186"/>
      <c r="N173" s="190"/>
      <c r="O173" s="190"/>
      <c r="P173" s="75"/>
      <c r="Q173" s="75"/>
    </row>
    <row r="174" spans="2:17">
      <c r="B174" s="77"/>
      <c r="C174" s="15"/>
      <c r="D174" s="77" t="s">
        <v>69</v>
      </c>
      <c r="E174" s="15" t="s">
        <v>201</v>
      </c>
      <c r="F174" s="15"/>
      <c r="G174" s="15"/>
      <c r="H174" s="15"/>
      <c r="I174" s="15"/>
      <c r="J174" s="108"/>
      <c r="K174" s="65" t="e">
        <f>HLOOKUP(J174,E175:J176,2,FALSE)</f>
        <v>#N/A</v>
      </c>
      <c r="L174" s="186">
        <v>10</v>
      </c>
      <c r="M174" s="186"/>
      <c r="N174" s="188"/>
      <c r="O174" s="190"/>
      <c r="P174" s="75"/>
      <c r="Q174" s="75"/>
    </row>
    <row r="175" spans="2:17" s="67" customFormat="1" ht="22">
      <c r="B175" s="81"/>
      <c r="C175" s="80"/>
      <c r="D175" s="81"/>
      <c r="E175" s="80" t="s">
        <v>199</v>
      </c>
      <c r="F175" s="80" t="s">
        <v>17</v>
      </c>
      <c r="G175" s="80" t="s">
        <v>18</v>
      </c>
      <c r="H175" s="80" t="s">
        <v>19</v>
      </c>
      <c r="I175" s="80" t="s">
        <v>20</v>
      </c>
      <c r="J175" s="105" t="s">
        <v>21</v>
      </c>
      <c r="K175" s="65"/>
      <c r="L175" s="186"/>
      <c r="M175" s="186"/>
      <c r="N175" s="188"/>
      <c r="O175" s="190"/>
      <c r="P175" s="78"/>
      <c r="Q175" s="78"/>
    </row>
    <row r="176" spans="2:17" s="67" customFormat="1">
      <c r="B176" s="81"/>
      <c r="C176" s="80"/>
      <c r="D176" s="81"/>
      <c r="E176" s="80">
        <v>0</v>
      </c>
      <c r="F176" s="80">
        <v>1</v>
      </c>
      <c r="G176" s="80">
        <v>2</v>
      </c>
      <c r="H176" s="80">
        <v>3</v>
      </c>
      <c r="I176" s="80">
        <v>4</v>
      </c>
      <c r="J176" s="106">
        <v>5</v>
      </c>
      <c r="K176" s="65"/>
      <c r="L176" s="186"/>
      <c r="M176" s="186"/>
      <c r="N176" s="188"/>
      <c r="O176" s="190"/>
      <c r="P176" s="78"/>
      <c r="Q176" s="78"/>
    </row>
    <row r="177" spans="1:19">
      <c r="B177" s="77"/>
      <c r="C177" s="15"/>
      <c r="D177" s="77"/>
      <c r="E177" s="15"/>
      <c r="F177" s="15"/>
      <c r="G177" s="15"/>
      <c r="H177" s="15"/>
      <c r="I177" s="15"/>
      <c r="J177" s="101"/>
      <c r="L177" s="186"/>
      <c r="M177" s="186"/>
      <c r="N177" s="190"/>
      <c r="O177" s="190"/>
      <c r="P177" s="75"/>
      <c r="Q177" s="75"/>
    </row>
    <row r="178" spans="1:19">
      <c r="B178" s="77"/>
      <c r="C178" s="15"/>
      <c r="D178" s="77" t="s">
        <v>69</v>
      </c>
      <c r="E178" s="15" t="s">
        <v>202</v>
      </c>
      <c r="F178" s="15"/>
      <c r="G178" s="15"/>
      <c r="H178" s="15"/>
      <c r="I178" s="15"/>
      <c r="J178" s="108"/>
      <c r="K178" s="65" t="e">
        <f>HLOOKUP(J178,E179:J180,2,FALSE)</f>
        <v>#N/A</v>
      </c>
      <c r="L178" s="186">
        <v>10</v>
      </c>
      <c r="M178" s="186"/>
      <c r="N178" s="188"/>
      <c r="O178" s="190"/>
      <c r="P178" s="75"/>
      <c r="Q178" s="75"/>
    </row>
    <row r="179" spans="1:19" s="67" customFormat="1" ht="22">
      <c r="B179" s="81"/>
      <c r="C179" s="80">
        <v>7</v>
      </c>
      <c r="D179" s="81"/>
      <c r="E179" s="85" t="s">
        <v>199</v>
      </c>
      <c r="F179" s="86" t="s">
        <v>17</v>
      </c>
      <c r="G179" s="86" t="s">
        <v>18</v>
      </c>
      <c r="H179" s="86" t="s">
        <v>19</v>
      </c>
      <c r="I179" s="86" t="s">
        <v>20</v>
      </c>
      <c r="J179" s="105" t="s">
        <v>21</v>
      </c>
      <c r="K179" s="65"/>
      <c r="L179" s="186"/>
      <c r="M179" s="186"/>
      <c r="N179" s="188"/>
      <c r="O179" s="190"/>
      <c r="P179" s="78"/>
      <c r="Q179" s="78"/>
    </row>
    <row r="180" spans="1:19" s="67" customFormat="1">
      <c r="B180" s="77"/>
      <c r="C180" s="16"/>
      <c r="D180" s="77"/>
      <c r="E180" s="83">
        <v>0</v>
      </c>
      <c r="F180" s="84">
        <v>1</v>
      </c>
      <c r="G180" s="84">
        <v>2</v>
      </c>
      <c r="H180" s="84">
        <v>3</v>
      </c>
      <c r="I180" s="84">
        <v>4</v>
      </c>
      <c r="J180" s="106">
        <v>5</v>
      </c>
      <c r="K180" s="65"/>
      <c r="L180" s="186"/>
      <c r="M180" s="186"/>
      <c r="N180" s="188"/>
      <c r="O180" s="190"/>
      <c r="P180" s="78"/>
      <c r="Q180" s="78"/>
    </row>
    <row r="181" spans="1:19">
      <c r="B181" s="77"/>
      <c r="C181" s="16"/>
      <c r="D181" s="77"/>
      <c r="E181" s="62"/>
      <c r="F181" s="63"/>
      <c r="G181" s="63"/>
      <c r="H181" s="63"/>
      <c r="I181" s="63"/>
      <c r="J181" s="101"/>
      <c r="L181" s="186"/>
      <c r="M181" s="186"/>
      <c r="N181" s="190"/>
      <c r="O181" s="190"/>
      <c r="P181" s="75"/>
      <c r="Q181" s="75"/>
    </row>
    <row r="182" spans="1:19" ht="19">
      <c r="B182" s="77"/>
      <c r="C182" s="16"/>
      <c r="D182" s="87" t="s">
        <v>138</v>
      </c>
      <c r="E182" s="168" t="s">
        <v>203</v>
      </c>
      <c r="F182" s="168"/>
      <c r="G182" s="168"/>
      <c r="H182" s="168"/>
      <c r="I182" s="168"/>
      <c r="J182" s="168"/>
      <c r="L182" s="186" t="s">
        <v>140</v>
      </c>
      <c r="M182" s="186"/>
      <c r="N182" s="192"/>
      <c r="O182" s="190"/>
      <c r="P182" s="75"/>
      <c r="Q182" s="75"/>
    </row>
    <row r="183" spans="1:19" ht="19">
      <c r="B183" s="77"/>
      <c r="C183" s="16"/>
      <c r="D183" s="77"/>
      <c r="E183" s="168" t="s">
        <v>204</v>
      </c>
      <c r="F183" s="168"/>
      <c r="G183" s="168"/>
      <c r="H183" s="168"/>
      <c r="I183" s="168"/>
      <c r="J183" s="168"/>
      <c r="L183" s="186"/>
      <c r="M183" s="186"/>
      <c r="N183" s="192"/>
      <c r="O183" s="190"/>
      <c r="P183" s="75"/>
      <c r="Q183" s="75"/>
    </row>
    <row r="184" spans="1:19" ht="19">
      <c r="B184" s="77"/>
      <c r="C184" s="16"/>
      <c r="D184" s="77"/>
      <c r="E184" s="168"/>
      <c r="F184" s="168"/>
      <c r="G184" s="168"/>
      <c r="H184" s="168"/>
      <c r="I184" s="168"/>
      <c r="J184" s="168"/>
      <c r="L184" s="186"/>
      <c r="M184" s="186"/>
      <c r="N184" s="192"/>
      <c r="O184" s="190"/>
      <c r="P184" s="75"/>
      <c r="Q184" s="75"/>
    </row>
    <row r="185" spans="1:19">
      <c r="B185" s="77"/>
      <c r="C185" s="16"/>
      <c r="D185" s="77"/>
      <c r="E185" s="62"/>
      <c r="F185" s="63"/>
      <c r="G185" s="63"/>
      <c r="H185" s="63"/>
      <c r="I185" s="63"/>
      <c r="J185" s="101"/>
      <c r="L185" s="186"/>
      <c r="M185" s="186"/>
      <c r="N185" s="190"/>
      <c r="O185" s="190"/>
      <c r="P185" s="75"/>
      <c r="Q185" s="75"/>
      <c r="R185" s="74"/>
      <c r="S185" s="74"/>
    </row>
    <row r="186" spans="1:19">
      <c r="A186" s="17" t="s">
        <v>205</v>
      </c>
      <c r="B186" s="77"/>
      <c r="C186" s="16"/>
      <c r="D186" s="77"/>
      <c r="E186" s="73"/>
      <c r="F186" s="72"/>
      <c r="G186" s="72"/>
      <c r="H186" s="72"/>
      <c r="I186" s="72"/>
      <c r="J186" s="102"/>
      <c r="L186" s="186"/>
      <c r="M186" s="186">
        <v>0.63</v>
      </c>
      <c r="N186" s="192"/>
      <c r="O186" s="190"/>
      <c r="P186" s="75"/>
      <c r="Q186" s="75"/>
    </row>
    <row r="187" spans="1:19">
      <c r="B187" s="77">
        <v>1</v>
      </c>
      <c r="C187" s="16" t="s">
        <v>206</v>
      </c>
      <c r="D187" s="77"/>
      <c r="E187" s="76"/>
      <c r="F187" s="74"/>
      <c r="G187" s="74"/>
      <c r="H187" s="74"/>
      <c r="I187" s="74"/>
      <c r="J187" s="103"/>
      <c r="L187" s="186">
        <v>100</v>
      </c>
      <c r="M187" s="186">
        <f>SUMPRODUCT(K188:K200,L188:L200)/500</f>
        <v>0</v>
      </c>
      <c r="N187" s="189"/>
      <c r="O187" s="190"/>
      <c r="P187" s="75"/>
      <c r="Q187" s="75"/>
    </row>
    <row r="188" spans="1:19">
      <c r="B188" s="77"/>
      <c r="C188" s="15"/>
      <c r="D188" s="77" t="s">
        <v>207</v>
      </c>
      <c r="E188" s="15" t="s">
        <v>84</v>
      </c>
      <c r="F188" s="15"/>
      <c r="G188" s="15"/>
      <c r="H188" s="15"/>
      <c r="I188" s="15"/>
      <c r="J188" s="108"/>
      <c r="K188" s="65">
        <f>HLOOKUP(J188,E189:J190,2,FALSE)</f>
        <v>0</v>
      </c>
      <c r="L188" s="186">
        <v>25</v>
      </c>
      <c r="M188" s="186"/>
      <c r="N188" s="188"/>
      <c r="O188" s="190"/>
      <c r="P188" s="75"/>
      <c r="Q188" s="75"/>
    </row>
    <row r="189" spans="1:19" s="67" customFormat="1">
      <c r="B189" s="81"/>
      <c r="C189" s="80"/>
      <c r="D189" s="81"/>
      <c r="E189" s="80">
        <v>0</v>
      </c>
      <c r="F189" s="80">
        <v>1</v>
      </c>
      <c r="G189" s="80">
        <v>2</v>
      </c>
      <c r="H189" s="80">
        <v>3</v>
      </c>
      <c r="I189" s="80">
        <v>4</v>
      </c>
      <c r="J189" s="105">
        <v>5</v>
      </c>
      <c r="K189" s="65"/>
      <c r="L189" s="186"/>
      <c r="M189" s="186"/>
      <c r="N189" s="188"/>
      <c r="O189" s="190"/>
      <c r="P189" s="78"/>
      <c r="Q189" s="78"/>
    </row>
    <row r="190" spans="1:19" s="67" customFormat="1">
      <c r="B190" s="81"/>
      <c r="C190" s="80"/>
      <c r="D190" s="81"/>
      <c r="E190" s="80">
        <v>0</v>
      </c>
      <c r="F190" s="80">
        <v>1</v>
      </c>
      <c r="G190" s="80">
        <v>2</v>
      </c>
      <c r="H190" s="80">
        <v>3</v>
      </c>
      <c r="I190" s="80">
        <v>4</v>
      </c>
      <c r="J190" s="106">
        <v>5</v>
      </c>
      <c r="K190" s="65"/>
      <c r="L190" s="186"/>
      <c r="M190" s="186"/>
      <c r="N190" s="188"/>
      <c r="O190" s="190"/>
      <c r="P190" s="78"/>
      <c r="Q190" s="78"/>
    </row>
    <row r="191" spans="1:19">
      <c r="B191" s="77"/>
      <c r="C191" s="15"/>
      <c r="D191" s="77"/>
      <c r="E191" s="15"/>
      <c r="F191" s="15"/>
      <c r="G191" s="15"/>
      <c r="H191" s="15"/>
      <c r="I191" s="15"/>
      <c r="J191" s="101"/>
      <c r="L191" s="186"/>
      <c r="M191" s="186"/>
      <c r="N191" s="188"/>
      <c r="O191" s="190"/>
      <c r="P191" s="75"/>
      <c r="Q191" s="75"/>
    </row>
    <row r="192" spans="1:19">
      <c r="B192" s="77"/>
      <c r="C192" s="15"/>
      <c r="D192" s="77" t="s">
        <v>56</v>
      </c>
      <c r="E192" s="15" t="s">
        <v>208</v>
      </c>
      <c r="F192" s="15"/>
      <c r="G192" s="15"/>
      <c r="H192" s="15"/>
      <c r="I192" s="15"/>
      <c r="J192" s="108"/>
      <c r="K192" s="65">
        <f>HLOOKUP(J192,E193:J194,2,FALSE)</f>
        <v>0</v>
      </c>
      <c r="L192" s="186">
        <v>25</v>
      </c>
      <c r="M192" s="186"/>
      <c r="N192" s="188"/>
      <c r="O192" s="190"/>
      <c r="P192" s="75"/>
      <c r="Q192" s="75"/>
    </row>
    <row r="193" spans="2:19" s="67" customFormat="1" ht="22">
      <c r="B193" s="81"/>
      <c r="C193" s="80"/>
      <c r="D193" s="81"/>
      <c r="E193" s="80">
        <v>0</v>
      </c>
      <c r="F193" s="80" t="s">
        <v>17</v>
      </c>
      <c r="G193" s="80" t="s">
        <v>18</v>
      </c>
      <c r="H193" s="80" t="s">
        <v>19</v>
      </c>
      <c r="I193" s="80" t="s">
        <v>20</v>
      </c>
      <c r="J193" s="105" t="s">
        <v>21</v>
      </c>
      <c r="K193" s="65"/>
      <c r="L193" s="186"/>
      <c r="M193" s="186"/>
      <c r="N193" s="188"/>
      <c r="O193" s="190"/>
      <c r="P193" s="78"/>
      <c r="Q193" s="78"/>
    </row>
    <row r="194" spans="2:19" s="67" customFormat="1">
      <c r="B194" s="81"/>
      <c r="C194" s="80"/>
      <c r="D194" s="81"/>
      <c r="E194" s="80">
        <v>0</v>
      </c>
      <c r="F194" s="80">
        <v>1</v>
      </c>
      <c r="G194" s="80">
        <v>2</v>
      </c>
      <c r="H194" s="80">
        <v>3</v>
      </c>
      <c r="I194" s="80">
        <v>4</v>
      </c>
      <c r="J194" s="106">
        <v>5</v>
      </c>
      <c r="K194" s="65"/>
      <c r="L194" s="186"/>
      <c r="M194" s="186"/>
      <c r="N194" s="188"/>
      <c r="O194" s="190"/>
      <c r="P194" s="78"/>
      <c r="Q194" s="78"/>
    </row>
    <row r="195" spans="2:19">
      <c r="B195" s="77"/>
      <c r="C195" s="15"/>
      <c r="D195" s="77"/>
      <c r="E195" s="15"/>
      <c r="F195" s="15"/>
      <c r="G195" s="15"/>
      <c r="H195" s="15"/>
      <c r="I195" s="15"/>
      <c r="J195" s="101"/>
      <c r="L195" s="186"/>
      <c r="M195" s="186"/>
      <c r="N195" s="190"/>
      <c r="O195" s="190"/>
      <c r="P195" s="75"/>
      <c r="Q195" s="75"/>
    </row>
    <row r="196" spans="2:19">
      <c r="B196" s="77"/>
      <c r="C196" s="15"/>
      <c r="D196" s="77" t="s">
        <v>69</v>
      </c>
      <c r="E196" s="15" t="s">
        <v>209</v>
      </c>
      <c r="F196" s="15"/>
      <c r="G196" s="15"/>
      <c r="H196" s="15"/>
      <c r="I196" s="15"/>
      <c r="J196" s="108"/>
      <c r="K196" s="65">
        <f>HLOOKUP(J196,E197:J198,2,FALSE)</f>
        <v>0</v>
      </c>
      <c r="L196" s="186">
        <v>25</v>
      </c>
      <c r="M196" s="186"/>
      <c r="N196" s="188"/>
      <c r="O196" s="190"/>
      <c r="P196" s="75"/>
      <c r="Q196" s="75"/>
    </row>
    <row r="197" spans="2:19" s="67" customFormat="1">
      <c r="B197" s="81"/>
      <c r="C197" s="80"/>
      <c r="D197" s="81"/>
      <c r="E197" s="80">
        <v>0</v>
      </c>
      <c r="F197" s="80">
        <v>1</v>
      </c>
      <c r="G197" s="80">
        <v>2</v>
      </c>
      <c r="H197" s="80">
        <v>3</v>
      </c>
      <c r="I197" s="80">
        <v>4</v>
      </c>
      <c r="J197" s="105">
        <v>5</v>
      </c>
      <c r="K197" s="65"/>
      <c r="L197" s="186"/>
      <c r="M197" s="186"/>
      <c r="N197" s="188"/>
      <c r="O197" s="190"/>
      <c r="P197" s="78"/>
      <c r="Q197" s="78"/>
    </row>
    <row r="198" spans="2:19" s="67" customFormat="1">
      <c r="B198" s="81"/>
      <c r="C198" s="80"/>
      <c r="D198" s="81"/>
      <c r="E198" s="80">
        <v>0</v>
      </c>
      <c r="F198" s="80">
        <v>1</v>
      </c>
      <c r="G198" s="80">
        <v>2</v>
      </c>
      <c r="H198" s="80">
        <v>3</v>
      </c>
      <c r="I198" s="80">
        <v>4</v>
      </c>
      <c r="J198" s="106">
        <v>5</v>
      </c>
      <c r="K198" s="65"/>
      <c r="L198" s="186"/>
      <c r="M198" s="186"/>
      <c r="N198" s="188"/>
      <c r="O198" s="190"/>
      <c r="P198" s="78"/>
      <c r="Q198" s="78"/>
    </row>
    <row r="199" spans="2:19">
      <c r="B199" s="77"/>
      <c r="C199" s="15"/>
      <c r="D199" s="77"/>
      <c r="E199" s="15"/>
      <c r="F199" s="15"/>
      <c r="G199" s="15"/>
      <c r="H199" s="15"/>
      <c r="I199" s="15"/>
      <c r="J199" s="101"/>
      <c r="L199" s="186"/>
      <c r="M199" s="186"/>
      <c r="N199" s="190"/>
      <c r="O199" s="190"/>
      <c r="P199" s="75"/>
      <c r="Q199" s="75"/>
    </row>
    <row r="200" spans="2:19">
      <c r="B200" s="77"/>
      <c r="C200" s="15"/>
      <c r="D200" s="77" t="s">
        <v>207</v>
      </c>
      <c r="E200" s="15" t="s">
        <v>210</v>
      </c>
      <c r="F200" s="15"/>
      <c r="G200" s="15"/>
      <c r="H200" s="15"/>
      <c r="I200" s="15"/>
      <c r="J200" s="108"/>
      <c r="K200" s="65">
        <f>HLOOKUP(J200,E201:J202,2,FALSE)</f>
        <v>0</v>
      </c>
      <c r="L200" s="186">
        <v>25</v>
      </c>
      <c r="M200" s="186"/>
      <c r="N200" s="188"/>
      <c r="O200" s="190"/>
      <c r="P200" s="75"/>
      <c r="Q200" s="75"/>
    </row>
    <row r="201" spans="2:19" s="67" customFormat="1" ht="22">
      <c r="B201" s="81"/>
      <c r="C201" s="82"/>
      <c r="D201" s="81"/>
      <c r="E201" s="80">
        <v>0</v>
      </c>
      <c r="F201" s="80" t="s">
        <v>17</v>
      </c>
      <c r="G201" s="80" t="s">
        <v>18</v>
      </c>
      <c r="H201" s="80" t="s">
        <v>19</v>
      </c>
      <c r="I201" s="80" t="s">
        <v>20</v>
      </c>
      <c r="J201" s="105" t="s">
        <v>21</v>
      </c>
      <c r="K201" s="65"/>
      <c r="L201" s="186"/>
      <c r="M201" s="186"/>
      <c r="N201" s="188"/>
      <c r="O201" s="190"/>
      <c r="P201" s="78"/>
      <c r="Q201" s="78"/>
      <c r="R201" s="66"/>
      <c r="S201" s="66"/>
    </row>
    <row r="202" spans="2:19" s="67" customFormat="1">
      <c r="B202" s="81"/>
      <c r="C202" s="82"/>
      <c r="D202" s="81"/>
      <c r="E202" s="80">
        <v>0</v>
      </c>
      <c r="F202" s="80">
        <v>1</v>
      </c>
      <c r="G202" s="80">
        <v>2</v>
      </c>
      <c r="H202" s="80">
        <v>3</v>
      </c>
      <c r="I202" s="80">
        <v>4</v>
      </c>
      <c r="J202" s="106">
        <v>5</v>
      </c>
      <c r="K202" s="65"/>
      <c r="L202" s="186"/>
      <c r="M202" s="186"/>
      <c r="N202" s="188"/>
      <c r="O202" s="190"/>
      <c r="P202" s="78"/>
      <c r="Q202" s="78"/>
    </row>
    <row r="203" spans="2:19">
      <c r="B203" s="77"/>
      <c r="C203" s="16"/>
      <c r="D203" s="77"/>
      <c r="E203" s="15"/>
      <c r="F203" s="15"/>
      <c r="G203" s="15"/>
      <c r="H203" s="15"/>
      <c r="I203" s="15"/>
      <c r="J203" s="101"/>
      <c r="L203" s="186"/>
      <c r="M203" s="186"/>
      <c r="N203" s="190"/>
      <c r="O203" s="190"/>
      <c r="P203" s="75"/>
      <c r="Q203" s="75"/>
    </row>
    <row r="204" spans="2:19">
      <c r="B204" s="77">
        <v>2</v>
      </c>
      <c r="C204" s="16" t="s">
        <v>211</v>
      </c>
      <c r="D204" s="77"/>
      <c r="E204" s="15"/>
      <c r="F204" s="15"/>
      <c r="G204" s="15"/>
      <c r="H204" s="15"/>
      <c r="I204" s="15"/>
      <c r="J204" s="103"/>
      <c r="L204" s="189">
        <v>100</v>
      </c>
      <c r="M204" s="189">
        <f>SUMPRODUCT(K205:K213,L205:L213)/500</f>
        <v>0</v>
      </c>
      <c r="N204" s="189"/>
      <c r="O204" s="190"/>
      <c r="P204" s="75"/>
      <c r="Q204" s="75"/>
    </row>
    <row r="205" spans="2:19">
      <c r="B205" s="77"/>
      <c r="C205" s="15"/>
      <c r="D205" s="77" t="s">
        <v>212</v>
      </c>
      <c r="E205" s="15" t="s">
        <v>213</v>
      </c>
      <c r="F205" s="15"/>
      <c r="G205" s="15"/>
      <c r="H205" s="15"/>
      <c r="I205" s="15"/>
      <c r="J205" s="108"/>
      <c r="K205" s="65">
        <f>HLOOKUP(J205,E206:J207,2,FALSE)</f>
        <v>0</v>
      </c>
      <c r="L205" s="186">
        <v>25</v>
      </c>
      <c r="M205" s="186"/>
      <c r="N205" s="188"/>
      <c r="O205" s="190"/>
      <c r="P205" s="75"/>
      <c r="Q205" s="75"/>
    </row>
    <row r="206" spans="2:19" s="67" customFormat="1">
      <c r="B206" s="81"/>
      <c r="C206" s="80"/>
      <c r="D206" s="81"/>
      <c r="E206" s="80">
        <v>0</v>
      </c>
      <c r="F206" s="80">
        <v>1</v>
      </c>
      <c r="G206" s="80">
        <v>2</v>
      </c>
      <c r="H206" s="80">
        <v>3</v>
      </c>
      <c r="I206" s="80">
        <v>4</v>
      </c>
      <c r="J206" s="105">
        <v>5</v>
      </c>
      <c r="K206" s="65"/>
      <c r="L206" s="186"/>
      <c r="M206" s="186"/>
      <c r="N206" s="188"/>
      <c r="O206" s="190"/>
      <c r="P206" s="78"/>
      <c r="Q206" s="78"/>
    </row>
    <row r="207" spans="2:19" s="67" customFormat="1">
      <c r="B207" s="81"/>
      <c r="C207" s="80"/>
      <c r="D207" s="81"/>
      <c r="E207" s="80">
        <v>0</v>
      </c>
      <c r="F207" s="80">
        <v>1</v>
      </c>
      <c r="G207" s="80">
        <v>2</v>
      </c>
      <c r="H207" s="80">
        <v>3</v>
      </c>
      <c r="I207" s="80">
        <v>4</v>
      </c>
      <c r="J207" s="106">
        <v>5</v>
      </c>
      <c r="K207" s="65"/>
      <c r="L207" s="186"/>
      <c r="M207" s="186"/>
      <c r="N207" s="188"/>
      <c r="O207" s="190"/>
      <c r="P207" s="78"/>
      <c r="Q207" s="78"/>
    </row>
    <row r="208" spans="2:19">
      <c r="B208" s="77"/>
      <c r="C208" s="15"/>
      <c r="D208" s="77"/>
      <c r="E208" s="15"/>
      <c r="F208" s="15"/>
      <c r="G208" s="15"/>
      <c r="H208" s="15"/>
      <c r="I208" s="15"/>
      <c r="J208" s="101"/>
      <c r="L208" s="186"/>
      <c r="M208" s="186"/>
      <c r="N208" s="188"/>
      <c r="O208" s="190"/>
      <c r="P208" s="75"/>
      <c r="Q208" s="75"/>
    </row>
    <row r="209" spans="2:19">
      <c r="B209" s="77"/>
      <c r="C209" s="15"/>
      <c r="D209" s="77" t="s">
        <v>69</v>
      </c>
      <c r="E209" s="15" t="s">
        <v>80</v>
      </c>
      <c r="F209" s="15"/>
      <c r="G209" s="15"/>
      <c r="H209" s="15"/>
      <c r="I209" s="15"/>
      <c r="J209" s="108"/>
      <c r="K209" s="65">
        <f>HLOOKUP(J209,E210:J211,2,FALSE)</f>
        <v>0</v>
      </c>
      <c r="L209" s="186">
        <v>25</v>
      </c>
      <c r="M209" s="186"/>
      <c r="N209" s="188"/>
      <c r="O209" s="190"/>
      <c r="P209" s="75"/>
      <c r="Q209" s="75"/>
      <c r="R209" s="74"/>
      <c r="S209" s="74"/>
    </row>
    <row r="210" spans="2:19" s="67" customFormat="1">
      <c r="B210" s="81"/>
      <c r="C210" s="80"/>
      <c r="D210" s="81"/>
      <c r="E210" s="80">
        <v>0</v>
      </c>
      <c r="F210" s="80">
        <v>1</v>
      </c>
      <c r="G210" s="80">
        <v>2</v>
      </c>
      <c r="H210" s="80">
        <v>3</v>
      </c>
      <c r="I210" s="80">
        <v>4</v>
      </c>
      <c r="J210" s="105">
        <v>5</v>
      </c>
      <c r="K210" s="65"/>
      <c r="L210" s="186"/>
      <c r="M210" s="186"/>
      <c r="N210" s="188"/>
      <c r="O210" s="190"/>
      <c r="P210" s="78"/>
      <c r="Q210" s="78"/>
    </row>
    <row r="211" spans="2:19" s="67" customFormat="1">
      <c r="B211" s="81"/>
      <c r="C211" s="80"/>
      <c r="D211" s="81"/>
      <c r="E211" s="80">
        <v>0</v>
      </c>
      <c r="F211" s="80">
        <v>1</v>
      </c>
      <c r="G211" s="80">
        <v>2</v>
      </c>
      <c r="H211" s="80">
        <v>3</v>
      </c>
      <c r="I211" s="80">
        <v>4</v>
      </c>
      <c r="J211" s="106">
        <v>5</v>
      </c>
      <c r="K211" s="65"/>
      <c r="L211" s="186"/>
      <c r="M211" s="186"/>
      <c r="N211" s="188"/>
      <c r="O211" s="190"/>
      <c r="P211" s="78"/>
      <c r="Q211" s="78"/>
    </row>
    <row r="212" spans="2:19">
      <c r="B212" s="77"/>
      <c r="C212" s="15"/>
      <c r="D212" s="77"/>
      <c r="E212" s="15"/>
      <c r="F212" s="15"/>
      <c r="G212" s="15"/>
      <c r="H212" s="15"/>
      <c r="I212" s="15"/>
      <c r="J212" s="101"/>
      <c r="L212" s="186"/>
      <c r="M212" s="186"/>
      <c r="N212" s="190"/>
      <c r="O212" s="190"/>
      <c r="P212" s="75"/>
      <c r="Q212" s="75"/>
    </row>
    <row r="213" spans="2:19">
      <c r="B213" s="77"/>
      <c r="C213" s="15"/>
      <c r="D213" s="77" t="s">
        <v>207</v>
      </c>
      <c r="E213" s="15" t="s">
        <v>85</v>
      </c>
      <c r="F213" s="15"/>
      <c r="G213" s="15"/>
      <c r="H213" s="15"/>
      <c r="I213" s="15"/>
      <c r="J213" s="108"/>
      <c r="K213" s="65">
        <f>HLOOKUP(J213,E214:J215,2,FALSE)</f>
        <v>0</v>
      </c>
      <c r="L213" s="186">
        <v>50</v>
      </c>
      <c r="M213" s="186"/>
      <c r="N213" s="188"/>
      <c r="O213" s="190"/>
      <c r="P213" s="75"/>
      <c r="Q213" s="75"/>
      <c r="R213" s="74"/>
      <c r="S213" s="74"/>
    </row>
    <row r="214" spans="2:19" s="67" customFormat="1">
      <c r="B214" s="81"/>
      <c r="C214" s="82">
        <v>3</v>
      </c>
      <c r="D214" s="81"/>
      <c r="E214" s="80">
        <v>0</v>
      </c>
      <c r="F214" s="80">
        <v>1</v>
      </c>
      <c r="G214" s="80">
        <v>2</v>
      </c>
      <c r="H214" s="80">
        <v>3</v>
      </c>
      <c r="I214" s="80">
        <v>4</v>
      </c>
      <c r="J214" s="105">
        <v>5</v>
      </c>
      <c r="K214" s="65"/>
      <c r="L214" s="186"/>
      <c r="M214" s="186"/>
      <c r="N214" s="188"/>
      <c r="O214" s="190"/>
      <c r="P214" s="78"/>
      <c r="Q214" s="78"/>
    </row>
    <row r="215" spans="2:19" s="67" customFormat="1">
      <c r="B215" s="77"/>
      <c r="C215" s="16"/>
      <c r="D215" s="77"/>
      <c r="E215" s="83">
        <v>0</v>
      </c>
      <c r="F215" s="84">
        <v>1</v>
      </c>
      <c r="G215" s="84">
        <v>2</v>
      </c>
      <c r="H215" s="84">
        <v>3</v>
      </c>
      <c r="I215" s="84">
        <v>4</v>
      </c>
      <c r="J215" s="106">
        <v>5</v>
      </c>
      <c r="K215" s="65"/>
      <c r="L215" s="186"/>
      <c r="M215" s="186"/>
      <c r="N215" s="188"/>
      <c r="O215" s="190"/>
      <c r="P215" s="78"/>
      <c r="Q215" s="78"/>
    </row>
    <row r="216" spans="2:19">
      <c r="B216" s="77"/>
      <c r="C216" s="16"/>
      <c r="D216" s="77"/>
      <c r="E216" s="76"/>
      <c r="F216" s="74"/>
      <c r="G216" s="74"/>
      <c r="H216" s="74"/>
      <c r="I216" s="74"/>
      <c r="J216" s="103"/>
      <c r="L216" s="186"/>
      <c r="M216" s="186"/>
      <c r="N216" s="190"/>
      <c r="O216" s="190"/>
      <c r="P216" s="75"/>
      <c r="Q216" s="75"/>
    </row>
    <row r="217" spans="2:19">
      <c r="B217" s="77">
        <v>3</v>
      </c>
      <c r="C217" s="16" t="s">
        <v>214</v>
      </c>
      <c r="D217" s="77"/>
      <c r="E217" s="76"/>
      <c r="F217" s="74"/>
      <c r="G217" s="74"/>
      <c r="H217" s="74"/>
      <c r="I217" s="74"/>
      <c r="J217" s="103"/>
      <c r="L217" s="189">
        <v>100</v>
      </c>
      <c r="M217" s="189" t="e">
        <f>SUMPRODUCT(K218:K230,L218:L230)/500</f>
        <v>#N/A</v>
      </c>
      <c r="N217" s="189"/>
      <c r="O217" s="190"/>
      <c r="P217" s="75"/>
      <c r="Q217" s="75"/>
    </row>
    <row r="218" spans="2:19">
      <c r="B218" s="77"/>
      <c r="C218" s="15"/>
      <c r="D218" s="77" t="s">
        <v>215</v>
      </c>
      <c r="E218" s="15" t="s">
        <v>216</v>
      </c>
      <c r="F218" s="15"/>
      <c r="G218" s="15"/>
      <c r="H218" s="15"/>
      <c r="I218" s="15"/>
      <c r="J218" s="109"/>
      <c r="K218" s="65" t="e">
        <f>HLOOKUP(J218,E219:J220,2,FALSE)</f>
        <v>#N/A</v>
      </c>
      <c r="L218" s="186">
        <v>25</v>
      </c>
      <c r="M218" s="186"/>
      <c r="N218" s="188"/>
      <c r="O218" s="190"/>
      <c r="P218" s="75"/>
      <c r="Q218" s="75"/>
    </row>
    <row r="219" spans="2:19" s="67" customFormat="1" ht="22">
      <c r="B219" s="81"/>
      <c r="C219" s="80"/>
      <c r="D219" s="81"/>
      <c r="E219" s="80" t="s">
        <v>217</v>
      </c>
      <c r="F219" s="80" t="s">
        <v>35</v>
      </c>
      <c r="G219" s="80" t="s">
        <v>218</v>
      </c>
      <c r="H219" s="80" t="s">
        <v>36</v>
      </c>
      <c r="I219" s="80" t="s">
        <v>219</v>
      </c>
      <c r="J219" s="105" t="s">
        <v>220</v>
      </c>
      <c r="K219" s="65"/>
      <c r="L219" s="186"/>
      <c r="M219" s="186"/>
      <c r="N219" s="188"/>
      <c r="O219" s="190"/>
      <c r="P219" s="78"/>
      <c r="Q219" s="78"/>
    </row>
    <row r="220" spans="2:19" s="67" customFormat="1">
      <c r="B220" s="81"/>
      <c r="C220" s="80"/>
      <c r="D220" s="81"/>
      <c r="E220" s="80">
        <v>0</v>
      </c>
      <c r="F220" s="80">
        <v>1</v>
      </c>
      <c r="G220" s="80">
        <v>2</v>
      </c>
      <c r="H220" s="80">
        <v>3</v>
      </c>
      <c r="I220" s="80">
        <v>4</v>
      </c>
      <c r="J220" s="106">
        <v>5</v>
      </c>
      <c r="K220" s="65"/>
      <c r="L220" s="186"/>
      <c r="M220" s="186"/>
      <c r="N220" s="188"/>
      <c r="O220" s="190"/>
      <c r="P220" s="78"/>
      <c r="Q220" s="78"/>
    </row>
    <row r="221" spans="2:19">
      <c r="B221" s="77"/>
      <c r="C221" s="15"/>
      <c r="D221" s="77"/>
      <c r="E221" s="15"/>
      <c r="F221" s="15"/>
      <c r="G221" s="15"/>
      <c r="H221" s="15"/>
      <c r="I221" s="15"/>
      <c r="J221" s="101"/>
      <c r="L221" s="186"/>
      <c r="M221" s="186"/>
      <c r="N221" s="188"/>
      <c r="O221" s="190"/>
      <c r="P221" s="75"/>
      <c r="Q221" s="75"/>
    </row>
    <row r="222" spans="2:19">
      <c r="B222" s="77"/>
      <c r="C222" s="15"/>
      <c r="D222" s="77" t="s">
        <v>56</v>
      </c>
      <c r="E222" s="15" t="s">
        <v>221</v>
      </c>
      <c r="F222" s="15"/>
      <c r="G222" s="15"/>
      <c r="H222" s="15"/>
      <c r="I222" s="15"/>
      <c r="J222" s="108"/>
      <c r="K222" s="65">
        <f>HLOOKUP(J222,E223:J224,2,FALSE)</f>
        <v>0</v>
      </c>
      <c r="L222" s="186">
        <v>25</v>
      </c>
      <c r="M222" s="186"/>
      <c r="N222" s="188"/>
      <c r="O222" s="190"/>
      <c r="P222" s="75"/>
      <c r="Q222" s="75"/>
    </row>
    <row r="223" spans="2:19" s="67" customFormat="1" ht="22">
      <c r="B223" s="81"/>
      <c r="C223" s="80"/>
      <c r="D223" s="81"/>
      <c r="E223" s="80">
        <v>0</v>
      </c>
      <c r="F223" s="80" t="s">
        <v>17</v>
      </c>
      <c r="G223" s="80" t="s">
        <v>18</v>
      </c>
      <c r="H223" s="80" t="s">
        <v>19</v>
      </c>
      <c r="I223" s="80" t="s">
        <v>20</v>
      </c>
      <c r="J223" s="105" t="s">
        <v>21</v>
      </c>
      <c r="K223" s="65"/>
      <c r="L223" s="186"/>
      <c r="M223" s="186"/>
      <c r="N223" s="188"/>
      <c r="O223" s="190"/>
      <c r="P223" s="78"/>
      <c r="Q223" s="78"/>
    </row>
    <row r="224" spans="2:19" s="67" customFormat="1">
      <c r="B224" s="81"/>
      <c r="C224" s="80"/>
      <c r="D224" s="81"/>
      <c r="E224" s="80">
        <v>0</v>
      </c>
      <c r="F224" s="80">
        <v>1</v>
      </c>
      <c r="G224" s="80">
        <v>2</v>
      </c>
      <c r="H224" s="80">
        <v>3</v>
      </c>
      <c r="I224" s="80">
        <v>4</v>
      </c>
      <c r="J224" s="106">
        <v>5</v>
      </c>
      <c r="K224" s="65"/>
      <c r="L224" s="186"/>
      <c r="M224" s="186"/>
      <c r="N224" s="188"/>
      <c r="O224" s="190"/>
      <c r="P224" s="78"/>
      <c r="Q224" s="78"/>
    </row>
    <row r="225" spans="2:19">
      <c r="B225" s="77"/>
      <c r="C225" s="15"/>
      <c r="D225" s="77"/>
      <c r="E225" s="15"/>
      <c r="F225" s="15"/>
      <c r="G225" s="15"/>
      <c r="H225" s="15"/>
      <c r="I225" s="15"/>
      <c r="J225" s="101"/>
      <c r="L225" s="186"/>
      <c r="M225" s="186"/>
      <c r="N225" s="190"/>
      <c r="O225" s="190"/>
      <c r="P225" s="75"/>
      <c r="Q225" s="75"/>
    </row>
    <row r="226" spans="2:19">
      <c r="B226" s="77"/>
      <c r="C226" s="15"/>
      <c r="D226" s="77" t="s">
        <v>57</v>
      </c>
      <c r="E226" s="15" t="s">
        <v>222</v>
      </c>
      <c r="F226" s="15"/>
      <c r="G226" s="15"/>
      <c r="H226" s="15"/>
      <c r="I226" s="15"/>
      <c r="J226" s="108"/>
      <c r="K226" s="65" t="e">
        <f>HLOOKUP(J226,E227:J228,2,FALSE)</f>
        <v>#N/A</v>
      </c>
      <c r="L226" s="186">
        <v>25</v>
      </c>
      <c r="M226" s="186"/>
      <c r="N226" s="188"/>
      <c r="O226" s="190"/>
      <c r="P226" s="75"/>
      <c r="Q226" s="75"/>
    </row>
    <row r="227" spans="2:19" s="67" customFormat="1" ht="22">
      <c r="B227" s="81"/>
      <c r="C227" s="80"/>
      <c r="D227" s="81"/>
      <c r="E227" s="80" t="s">
        <v>93</v>
      </c>
      <c r="F227" s="80" t="s">
        <v>223</v>
      </c>
      <c r="G227" s="80" t="s">
        <v>224</v>
      </c>
      <c r="H227" s="80" t="s">
        <v>225</v>
      </c>
      <c r="I227" s="80" t="s">
        <v>226</v>
      </c>
      <c r="J227" s="105" t="s">
        <v>227</v>
      </c>
      <c r="K227" s="65"/>
      <c r="L227" s="186"/>
      <c r="M227" s="186"/>
      <c r="N227" s="188"/>
      <c r="O227" s="190"/>
      <c r="P227" s="78"/>
      <c r="Q227" s="78"/>
    </row>
    <row r="228" spans="2:19" s="67" customFormat="1">
      <c r="B228" s="81"/>
      <c r="C228" s="80"/>
      <c r="D228" s="81"/>
      <c r="E228" s="80">
        <v>0</v>
      </c>
      <c r="F228" s="80">
        <v>1</v>
      </c>
      <c r="G228" s="80">
        <v>2</v>
      </c>
      <c r="H228" s="80">
        <v>3</v>
      </c>
      <c r="I228" s="80">
        <v>4</v>
      </c>
      <c r="J228" s="106">
        <v>5</v>
      </c>
      <c r="K228" s="65"/>
      <c r="L228" s="186"/>
      <c r="M228" s="186"/>
      <c r="N228" s="188"/>
      <c r="O228" s="190"/>
      <c r="P228" s="78"/>
      <c r="Q228" s="78"/>
    </row>
    <row r="229" spans="2:19">
      <c r="B229" s="77"/>
      <c r="C229" s="15"/>
      <c r="D229" s="77"/>
      <c r="E229" s="15"/>
      <c r="F229" s="15"/>
      <c r="G229" s="15"/>
      <c r="H229" s="15"/>
      <c r="I229" s="15"/>
      <c r="J229" s="101"/>
      <c r="L229" s="186"/>
      <c r="M229" s="186"/>
      <c r="N229" s="190"/>
      <c r="O229" s="190"/>
      <c r="P229" s="75"/>
      <c r="Q229" s="75"/>
    </row>
    <row r="230" spans="2:19">
      <c r="B230" s="77"/>
      <c r="C230" s="15"/>
      <c r="D230" s="77" t="s">
        <v>60</v>
      </c>
      <c r="E230" s="15" t="s">
        <v>228</v>
      </c>
      <c r="F230" s="15"/>
      <c r="G230" s="15"/>
      <c r="H230" s="15"/>
      <c r="I230" s="15"/>
      <c r="J230" s="108"/>
      <c r="K230" s="65" t="e">
        <f>HLOOKUP(J230,E231:J232,2,FALSE)</f>
        <v>#N/A</v>
      </c>
      <c r="L230" s="186">
        <v>25</v>
      </c>
      <c r="M230" s="186"/>
      <c r="N230" s="188"/>
      <c r="O230" s="190"/>
      <c r="P230" s="75"/>
      <c r="Q230" s="75"/>
    </row>
    <row r="231" spans="2:19" s="67" customFormat="1">
      <c r="B231" s="81"/>
      <c r="C231" s="82"/>
      <c r="D231" s="81"/>
      <c r="E231" s="85" t="s">
        <v>93</v>
      </c>
      <c r="F231" s="86" t="s">
        <v>223</v>
      </c>
      <c r="G231" s="86" t="s">
        <v>224</v>
      </c>
      <c r="H231" s="86" t="s">
        <v>225</v>
      </c>
      <c r="I231" s="86" t="s">
        <v>226</v>
      </c>
      <c r="J231" s="105"/>
      <c r="K231" s="65"/>
      <c r="L231" s="186"/>
      <c r="M231" s="186"/>
      <c r="N231" s="188"/>
      <c r="O231" s="190"/>
      <c r="P231" s="78"/>
      <c r="Q231" s="78"/>
      <c r="R231" s="66"/>
      <c r="S231" s="66"/>
    </row>
    <row r="232" spans="2:19" s="67" customFormat="1">
      <c r="B232" s="77"/>
      <c r="C232" s="77"/>
      <c r="D232" s="77"/>
      <c r="E232" s="83">
        <v>0</v>
      </c>
      <c r="F232" s="84">
        <v>1</v>
      </c>
      <c r="G232" s="84">
        <v>2</v>
      </c>
      <c r="H232" s="84">
        <v>3</v>
      </c>
      <c r="I232" s="84">
        <v>4</v>
      </c>
      <c r="J232" s="106">
        <v>5</v>
      </c>
      <c r="K232" s="65"/>
      <c r="L232" s="186"/>
      <c r="M232" s="186"/>
      <c r="N232" s="188"/>
      <c r="O232" s="190"/>
      <c r="P232" s="78"/>
      <c r="Q232" s="78"/>
    </row>
    <row r="233" spans="2:19">
      <c r="B233" s="77"/>
      <c r="C233" s="77"/>
      <c r="D233" s="77"/>
      <c r="E233" s="62"/>
      <c r="F233" s="63"/>
      <c r="G233" s="63"/>
      <c r="H233" s="63"/>
      <c r="I233" s="63"/>
      <c r="J233" s="101"/>
      <c r="L233" s="186"/>
      <c r="M233" s="186"/>
      <c r="N233" s="190"/>
      <c r="O233" s="190"/>
      <c r="P233" s="75"/>
      <c r="Q233" s="75"/>
    </row>
    <row r="234" spans="2:19" ht="19">
      <c r="B234" s="77"/>
      <c r="C234" s="77"/>
      <c r="D234" s="17" t="s">
        <v>138</v>
      </c>
      <c r="E234" s="168" t="s">
        <v>229</v>
      </c>
      <c r="F234" s="168"/>
      <c r="G234" s="168"/>
      <c r="H234" s="168"/>
      <c r="I234" s="168"/>
      <c r="J234" s="168"/>
      <c r="L234" s="186" t="s">
        <v>140</v>
      </c>
      <c r="M234" s="186"/>
      <c r="N234" s="192"/>
      <c r="O234" s="190"/>
      <c r="P234" s="75"/>
      <c r="Q234" s="75"/>
    </row>
    <row r="235" spans="2:19" ht="19">
      <c r="B235" s="77"/>
      <c r="C235" s="77"/>
      <c r="D235" s="17"/>
      <c r="E235" s="168" t="s">
        <v>230</v>
      </c>
      <c r="F235" s="168"/>
      <c r="G235" s="168"/>
      <c r="H235" s="168"/>
      <c r="I235" s="168"/>
      <c r="J235" s="168"/>
      <c r="L235" s="186"/>
      <c r="M235" s="186"/>
      <c r="N235" s="192"/>
      <c r="O235" s="190"/>
      <c r="P235" s="75"/>
      <c r="Q235" s="75"/>
    </row>
    <row r="236" spans="2:19" ht="19">
      <c r="B236" s="77"/>
      <c r="C236" s="77"/>
      <c r="D236" s="17"/>
      <c r="E236" s="168"/>
      <c r="F236" s="168"/>
      <c r="G236" s="168"/>
      <c r="H236" s="168"/>
      <c r="I236" s="168"/>
      <c r="J236" s="168"/>
      <c r="L236" s="186"/>
      <c r="M236" s="186"/>
      <c r="N236" s="192"/>
      <c r="O236" s="190"/>
      <c r="P236" s="75"/>
      <c r="Q236" s="75"/>
    </row>
    <row r="237" spans="2:19">
      <c r="B237" s="77"/>
      <c r="C237" s="77"/>
      <c r="D237" s="17"/>
      <c r="E237" s="62"/>
      <c r="F237" s="62"/>
      <c r="G237" s="62"/>
      <c r="H237" s="62"/>
      <c r="I237" s="62"/>
      <c r="J237" s="110"/>
      <c r="L237" s="186"/>
      <c r="M237" s="186"/>
      <c r="N237" s="190"/>
      <c r="O237" s="190"/>
      <c r="P237" s="75"/>
      <c r="Q237" s="75"/>
    </row>
    <row r="238" spans="2:19" ht="19">
      <c r="B238" s="77"/>
      <c r="C238" s="77"/>
      <c r="D238" s="17" t="s">
        <v>138</v>
      </c>
      <c r="E238" s="168" t="s">
        <v>231</v>
      </c>
      <c r="F238" s="168"/>
      <c r="G238" s="168"/>
      <c r="H238" s="168"/>
      <c r="I238" s="168"/>
      <c r="J238" s="168"/>
      <c r="L238" s="186" t="s">
        <v>140</v>
      </c>
      <c r="M238" s="186"/>
      <c r="N238" s="192"/>
      <c r="O238" s="190"/>
      <c r="P238" s="75"/>
      <c r="Q238" s="75"/>
    </row>
    <row r="239" spans="2:19" ht="19">
      <c r="B239" s="77"/>
      <c r="C239" s="77"/>
      <c r="D239" s="77"/>
      <c r="E239" s="168" t="s">
        <v>232</v>
      </c>
      <c r="F239" s="168"/>
      <c r="G239" s="168"/>
      <c r="H239" s="168"/>
      <c r="I239" s="168"/>
      <c r="J239" s="168"/>
      <c r="L239" s="186"/>
      <c r="M239" s="186"/>
      <c r="N239" s="192"/>
      <c r="O239" s="190"/>
      <c r="P239" s="75"/>
      <c r="Q239" s="75"/>
    </row>
    <row r="240" spans="2:19" ht="19">
      <c r="C240" s="88"/>
      <c r="D240" s="72"/>
      <c r="E240" s="168"/>
      <c r="F240" s="168"/>
      <c r="G240" s="168"/>
      <c r="H240" s="168"/>
      <c r="I240" s="168"/>
      <c r="J240" s="168"/>
      <c r="L240" s="186"/>
      <c r="M240" s="186"/>
      <c r="N240" s="192"/>
      <c r="O240" s="190"/>
      <c r="P240" s="75"/>
      <c r="Q240" s="75"/>
    </row>
    <row r="241" spans="2:17">
      <c r="B241" s="165"/>
      <c r="C241" s="165"/>
      <c r="E241" s="62"/>
      <c r="F241" s="63"/>
      <c r="G241" s="63"/>
      <c r="H241" s="63"/>
      <c r="I241" s="63"/>
      <c r="J241" s="101"/>
      <c r="L241" s="186"/>
      <c r="M241" s="186"/>
      <c r="N241" s="190"/>
      <c r="O241" s="190"/>
      <c r="P241" s="75"/>
      <c r="Q241" s="75"/>
    </row>
    <row r="242" spans="2:17">
      <c r="B242" s="165"/>
      <c r="C242" s="165"/>
      <c r="E242" s="62"/>
      <c r="F242" s="63"/>
      <c r="G242" s="63"/>
      <c r="H242" s="63"/>
      <c r="I242" s="63"/>
      <c r="J242" s="101"/>
      <c r="L242" s="186"/>
      <c r="M242" s="186"/>
      <c r="N242" s="190"/>
      <c r="O242" s="190"/>
      <c r="P242" s="75"/>
      <c r="Q242" s="75"/>
    </row>
    <row r="243" spans="2:17">
      <c r="B243" s="165"/>
      <c r="C243" s="165"/>
      <c r="E243" s="62"/>
      <c r="F243" s="63"/>
      <c r="G243" s="63"/>
      <c r="H243" s="63"/>
      <c r="I243" s="63"/>
      <c r="J243" s="101"/>
      <c r="L243" s="186"/>
      <c r="M243" s="186"/>
      <c r="N243" s="190"/>
      <c r="O243" s="190"/>
      <c r="P243" s="75"/>
      <c r="Q243" s="75"/>
    </row>
    <row r="244" spans="2:17">
      <c r="B244" s="165"/>
      <c r="C244" s="165"/>
      <c r="E244" s="62"/>
      <c r="F244" s="63"/>
      <c r="G244" s="63"/>
      <c r="H244" s="63"/>
      <c r="I244" s="63"/>
      <c r="J244" s="101"/>
      <c r="L244" s="186"/>
      <c r="M244" s="186"/>
      <c r="N244" s="190"/>
      <c r="O244" s="190"/>
      <c r="P244" s="75"/>
      <c r="Q244" s="75"/>
    </row>
    <row r="245" spans="2:17">
      <c r="B245" s="165"/>
      <c r="C245" s="165"/>
      <c r="E245" s="62"/>
      <c r="F245" s="63"/>
      <c r="G245" s="63"/>
      <c r="H245" s="63"/>
      <c r="I245" s="63"/>
      <c r="J245" s="101"/>
      <c r="L245" s="186"/>
      <c r="M245" s="186"/>
      <c r="N245" s="190"/>
      <c r="O245" s="190"/>
      <c r="P245" s="75"/>
      <c r="Q245" s="75"/>
    </row>
    <row r="246" spans="2:17">
      <c r="B246" s="165"/>
      <c r="C246" s="165"/>
      <c r="E246" s="62"/>
      <c r="F246" s="63"/>
      <c r="G246" s="63"/>
      <c r="H246" s="63"/>
      <c r="I246" s="63"/>
      <c r="J246" s="101"/>
      <c r="L246" s="186"/>
      <c r="M246" s="186"/>
      <c r="N246" s="190"/>
      <c r="O246" s="190"/>
      <c r="P246" s="75"/>
      <c r="Q246" s="75"/>
    </row>
    <row r="247" spans="2:17">
      <c r="B247" s="165"/>
      <c r="C247" s="165"/>
      <c r="E247" s="62"/>
      <c r="F247" s="63"/>
      <c r="G247" s="63"/>
      <c r="H247" s="63"/>
      <c r="I247" s="63"/>
      <c r="J247" s="101"/>
      <c r="L247" s="186"/>
      <c r="M247" s="186"/>
      <c r="N247" s="190"/>
      <c r="O247" s="190"/>
      <c r="P247" s="75"/>
      <c r="Q247" s="75"/>
    </row>
    <row r="248" spans="2:17">
      <c r="B248" s="165"/>
      <c r="C248" s="165"/>
      <c r="E248" s="62"/>
      <c r="F248" s="63"/>
      <c r="G248" s="63"/>
      <c r="H248" s="63"/>
      <c r="I248" s="63"/>
      <c r="J248" s="101"/>
      <c r="L248" s="186"/>
      <c r="M248" s="186"/>
      <c r="N248" s="190"/>
      <c r="O248" s="190"/>
      <c r="P248" s="75"/>
      <c r="Q248" s="75"/>
    </row>
    <row r="249" spans="2:17">
      <c r="B249" s="165"/>
      <c r="C249" s="165"/>
      <c r="E249" s="62"/>
      <c r="F249" s="63"/>
      <c r="G249" s="63"/>
      <c r="H249" s="63"/>
      <c r="I249" s="63"/>
      <c r="J249" s="101"/>
      <c r="L249" s="186"/>
      <c r="M249" s="186"/>
      <c r="N249" s="190"/>
      <c r="O249" s="190"/>
      <c r="P249" s="75"/>
      <c r="Q249" s="75"/>
    </row>
    <row r="250" spans="2:17">
      <c r="B250" s="165"/>
      <c r="C250" s="165"/>
      <c r="E250" s="62"/>
      <c r="F250" s="63"/>
      <c r="G250" s="63"/>
      <c r="H250" s="63"/>
      <c r="I250" s="63"/>
      <c r="J250" s="101"/>
      <c r="L250" s="186"/>
      <c r="M250" s="186"/>
      <c r="N250" s="190"/>
      <c r="O250" s="190"/>
      <c r="P250" s="75"/>
      <c r="Q250" s="75"/>
    </row>
    <row r="251" spans="2:17">
      <c r="B251" s="165"/>
      <c r="C251" s="165"/>
      <c r="E251" s="62"/>
      <c r="F251" s="63"/>
      <c r="G251" s="63"/>
      <c r="H251" s="63"/>
      <c r="I251" s="63"/>
      <c r="J251" s="101"/>
      <c r="L251" s="186"/>
      <c r="M251" s="186"/>
      <c r="N251" s="190"/>
      <c r="O251" s="190"/>
      <c r="P251" s="75"/>
      <c r="Q251" s="75"/>
    </row>
    <row r="252" spans="2:17">
      <c r="B252" s="165"/>
      <c r="C252" s="165"/>
      <c r="E252" s="62"/>
      <c r="F252" s="63"/>
      <c r="G252" s="63"/>
      <c r="H252" s="63"/>
      <c r="I252" s="63"/>
      <c r="J252" s="101"/>
      <c r="L252" s="186"/>
      <c r="M252" s="186"/>
      <c r="N252" s="190"/>
      <c r="O252" s="190"/>
      <c r="P252" s="75"/>
      <c r="Q252" s="75"/>
    </row>
    <row r="253" spans="2:17">
      <c r="B253" s="165"/>
      <c r="C253" s="165"/>
      <c r="E253" s="62"/>
      <c r="F253" s="63"/>
      <c r="G253" s="63"/>
      <c r="H253" s="63"/>
      <c r="I253" s="63"/>
      <c r="J253" s="101"/>
      <c r="L253" s="186"/>
      <c r="M253" s="186"/>
      <c r="N253" s="190"/>
      <c r="O253" s="190"/>
      <c r="P253" s="75"/>
      <c r="Q253" s="75"/>
    </row>
    <row r="254" spans="2:17">
      <c r="B254" s="165"/>
      <c r="C254" s="165"/>
      <c r="E254" s="62"/>
      <c r="F254" s="63"/>
      <c r="G254" s="63"/>
      <c r="H254" s="63"/>
      <c r="I254" s="63"/>
      <c r="J254" s="101"/>
      <c r="L254" s="186"/>
      <c r="M254" s="186"/>
      <c r="N254" s="190"/>
      <c r="O254" s="190"/>
      <c r="P254" s="75"/>
      <c r="Q254" s="75"/>
    </row>
    <row r="255" spans="2:17">
      <c r="B255" s="165"/>
      <c r="C255" s="165"/>
      <c r="E255" s="62"/>
      <c r="F255" s="63"/>
      <c r="G255" s="63"/>
      <c r="H255" s="63"/>
      <c r="I255" s="63"/>
      <c r="J255" s="101"/>
      <c r="L255" s="186"/>
      <c r="M255" s="186"/>
      <c r="N255" s="190"/>
      <c r="O255" s="190"/>
      <c r="P255" s="75"/>
      <c r="Q255" s="75"/>
    </row>
    <row r="256" spans="2:17">
      <c r="B256" s="165"/>
      <c r="C256" s="165"/>
      <c r="E256" s="62"/>
      <c r="F256" s="63"/>
      <c r="G256" s="63"/>
      <c r="H256" s="63"/>
      <c r="I256" s="63"/>
      <c r="J256" s="101"/>
      <c r="L256" s="186"/>
      <c r="M256" s="186"/>
      <c r="N256" s="190"/>
      <c r="O256" s="190"/>
      <c r="P256" s="75"/>
      <c r="Q256" s="75"/>
    </row>
    <row r="257" spans="2:17">
      <c r="B257" s="165"/>
      <c r="C257" s="165"/>
      <c r="E257" s="62"/>
      <c r="F257" s="63"/>
      <c r="G257" s="63"/>
      <c r="H257" s="63"/>
      <c r="I257" s="63"/>
      <c r="J257" s="101"/>
      <c r="L257" s="186"/>
      <c r="M257" s="186"/>
      <c r="N257" s="190"/>
      <c r="O257" s="190"/>
      <c r="P257" s="75"/>
      <c r="Q257" s="75"/>
    </row>
    <row r="258" spans="2:17">
      <c r="B258" s="165"/>
      <c r="C258" s="165"/>
      <c r="E258" s="62"/>
      <c r="F258" s="63"/>
      <c r="G258" s="63"/>
      <c r="H258" s="63"/>
      <c r="I258" s="63"/>
      <c r="J258" s="101"/>
      <c r="L258" s="186"/>
      <c r="M258" s="186"/>
      <c r="N258" s="190"/>
      <c r="O258" s="190"/>
      <c r="P258" s="75"/>
      <c r="Q258" s="75"/>
    </row>
    <row r="259" spans="2:17">
      <c r="B259" s="165"/>
      <c r="C259" s="165"/>
      <c r="E259" s="62"/>
      <c r="F259" s="63"/>
      <c r="G259" s="63"/>
      <c r="H259" s="63"/>
      <c r="I259" s="63"/>
      <c r="J259" s="101"/>
      <c r="L259" s="186"/>
      <c r="M259" s="186"/>
      <c r="N259" s="190"/>
      <c r="O259" s="190"/>
      <c r="P259" s="75"/>
      <c r="Q259" s="75"/>
    </row>
    <row r="260" spans="2:17">
      <c r="B260" s="165"/>
      <c r="C260" s="165"/>
      <c r="E260" s="62"/>
      <c r="F260" s="63"/>
      <c r="G260" s="63"/>
      <c r="H260" s="63"/>
      <c r="I260" s="63"/>
      <c r="J260" s="101"/>
      <c r="L260" s="186"/>
      <c r="M260" s="186"/>
      <c r="N260" s="190"/>
      <c r="O260" s="190"/>
      <c r="P260" s="75"/>
      <c r="Q260" s="75"/>
    </row>
    <row r="261" spans="2:17">
      <c r="B261" s="165"/>
      <c r="C261" s="165"/>
      <c r="E261" s="62"/>
      <c r="F261" s="63"/>
      <c r="G261" s="63"/>
      <c r="H261" s="63"/>
      <c r="I261" s="63"/>
      <c r="J261" s="101"/>
      <c r="L261" s="186"/>
      <c r="M261" s="186"/>
      <c r="N261" s="190"/>
      <c r="O261" s="190"/>
      <c r="P261" s="75"/>
      <c r="Q261" s="75"/>
    </row>
    <row r="262" spans="2:17">
      <c r="B262" s="165"/>
      <c r="C262" s="165"/>
      <c r="E262" s="62"/>
      <c r="F262" s="63"/>
      <c r="G262" s="63"/>
      <c r="H262" s="63"/>
      <c r="I262" s="63"/>
      <c r="J262" s="101"/>
      <c r="L262" s="186"/>
      <c r="M262" s="186"/>
      <c r="N262" s="190"/>
      <c r="O262" s="190"/>
      <c r="P262" s="75"/>
      <c r="Q262" s="75"/>
    </row>
    <row r="263" spans="2:17">
      <c r="B263" s="165"/>
      <c r="C263" s="165"/>
      <c r="E263" s="62"/>
      <c r="F263" s="63"/>
      <c r="G263" s="63"/>
      <c r="H263" s="63"/>
      <c r="I263" s="63"/>
      <c r="J263" s="101"/>
      <c r="L263" s="186"/>
      <c r="M263" s="186"/>
      <c r="N263" s="190"/>
      <c r="O263" s="190"/>
      <c r="P263" s="75"/>
      <c r="Q263" s="75"/>
    </row>
    <row r="264" spans="2:17">
      <c r="B264" s="165"/>
      <c r="C264" s="165"/>
      <c r="E264" s="62"/>
      <c r="F264" s="63"/>
      <c r="G264" s="63"/>
      <c r="H264" s="63"/>
      <c r="I264" s="63"/>
      <c r="J264" s="101"/>
      <c r="L264" s="186"/>
      <c r="M264" s="186"/>
      <c r="N264" s="190"/>
      <c r="O264" s="190"/>
      <c r="P264" s="75"/>
      <c r="Q264" s="75"/>
    </row>
    <row r="265" spans="2:17">
      <c r="B265" s="165"/>
      <c r="C265" s="165"/>
      <c r="E265" s="62"/>
      <c r="F265" s="63"/>
      <c r="G265" s="63"/>
      <c r="H265" s="63"/>
      <c r="I265" s="63"/>
      <c r="J265" s="101"/>
      <c r="L265" s="186"/>
      <c r="M265" s="186"/>
      <c r="N265" s="190"/>
      <c r="O265" s="190"/>
      <c r="P265" s="75"/>
      <c r="Q265" s="75"/>
    </row>
    <row r="266" spans="2:17">
      <c r="B266" s="165"/>
      <c r="C266" s="165"/>
      <c r="E266" s="62"/>
      <c r="F266" s="63"/>
      <c r="G266" s="63"/>
      <c r="H266" s="63"/>
      <c r="I266" s="63"/>
      <c r="J266" s="101"/>
      <c r="L266" s="186"/>
      <c r="M266" s="186"/>
      <c r="N266" s="190"/>
      <c r="O266" s="190"/>
      <c r="P266" s="75"/>
      <c r="Q266" s="75"/>
    </row>
    <row r="267" spans="2:17">
      <c r="B267" s="165"/>
      <c r="C267" s="165"/>
      <c r="E267" s="62"/>
      <c r="F267" s="63"/>
      <c r="G267" s="63"/>
      <c r="H267" s="63"/>
      <c r="I267" s="63"/>
      <c r="J267" s="101"/>
      <c r="L267" s="186"/>
      <c r="M267" s="186"/>
      <c r="N267" s="190"/>
      <c r="O267" s="190"/>
      <c r="P267" s="75"/>
      <c r="Q267" s="75"/>
    </row>
    <row r="268" spans="2:17">
      <c r="B268" s="165"/>
      <c r="C268" s="165"/>
      <c r="E268" s="62"/>
      <c r="F268" s="63"/>
      <c r="G268" s="63"/>
      <c r="H268" s="63"/>
      <c r="I268" s="63"/>
      <c r="J268" s="101"/>
      <c r="L268" s="186"/>
      <c r="M268" s="186"/>
      <c r="N268" s="190"/>
      <c r="O268" s="190"/>
      <c r="P268" s="75"/>
      <c r="Q268" s="75"/>
    </row>
    <row r="269" spans="2:17">
      <c r="B269" s="165"/>
      <c r="C269" s="165"/>
      <c r="E269" s="62"/>
      <c r="F269" s="63"/>
      <c r="G269" s="63"/>
      <c r="H269" s="63"/>
      <c r="I269" s="63"/>
      <c r="J269" s="101"/>
      <c r="L269" s="186"/>
      <c r="M269" s="186"/>
      <c r="N269" s="190"/>
      <c r="O269" s="190"/>
      <c r="P269" s="75"/>
      <c r="Q269" s="75"/>
    </row>
    <row r="270" spans="2:17">
      <c r="B270" s="165"/>
      <c r="C270" s="165"/>
      <c r="E270" s="62"/>
      <c r="F270" s="63"/>
      <c r="G270" s="63"/>
      <c r="H270" s="63"/>
      <c r="I270" s="63"/>
      <c r="J270" s="101"/>
      <c r="L270" s="186"/>
      <c r="M270" s="186"/>
      <c r="N270" s="190"/>
      <c r="O270" s="190"/>
      <c r="P270" s="75"/>
      <c r="Q270" s="75"/>
    </row>
    <row r="271" spans="2:17">
      <c r="B271" s="165"/>
      <c r="C271" s="165"/>
      <c r="E271" s="62"/>
      <c r="F271" s="63"/>
      <c r="G271" s="63"/>
      <c r="H271" s="63"/>
      <c r="I271" s="63"/>
      <c r="J271" s="101"/>
      <c r="L271" s="186"/>
      <c r="M271" s="186"/>
      <c r="N271" s="190"/>
      <c r="O271" s="190"/>
      <c r="P271" s="75"/>
      <c r="Q271" s="75"/>
    </row>
    <row r="272" spans="2:17">
      <c r="B272" s="165"/>
      <c r="C272" s="165"/>
      <c r="E272" s="62"/>
      <c r="F272" s="63"/>
      <c r="G272" s="63"/>
      <c r="H272" s="63"/>
      <c r="I272" s="63"/>
      <c r="J272" s="101"/>
      <c r="L272" s="186"/>
      <c r="M272" s="186"/>
      <c r="N272" s="190"/>
      <c r="O272" s="190"/>
      <c r="P272" s="75"/>
      <c r="Q272" s="75"/>
    </row>
    <row r="273" spans="2:17">
      <c r="B273" s="165"/>
      <c r="C273" s="165"/>
      <c r="E273" s="62"/>
      <c r="F273" s="63"/>
      <c r="G273" s="63"/>
      <c r="H273" s="63"/>
      <c r="I273" s="63"/>
      <c r="J273" s="101"/>
      <c r="L273" s="186"/>
      <c r="M273" s="186"/>
      <c r="N273" s="190"/>
      <c r="O273" s="190"/>
      <c r="P273" s="75"/>
      <c r="Q273" s="75"/>
    </row>
    <row r="274" spans="2:17">
      <c r="B274" s="165"/>
      <c r="C274" s="165"/>
      <c r="E274" s="62"/>
      <c r="F274" s="63"/>
      <c r="G274" s="63"/>
      <c r="H274" s="63"/>
      <c r="I274" s="63"/>
      <c r="J274" s="101"/>
      <c r="L274" s="186"/>
      <c r="M274" s="186"/>
      <c r="N274" s="190"/>
      <c r="O274" s="190"/>
      <c r="P274" s="75"/>
      <c r="Q274" s="75"/>
    </row>
    <row r="275" spans="2:17">
      <c r="B275" s="165"/>
      <c r="C275" s="165"/>
      <c r="E275" s="62"/>
      <c r="F275" s="63"/>
      <c r="G275" s="63"/>
      <c r="H275" s="63"/>
      <c r="I275" s="63"/>
      <c r="J275" s="101"/>
      <c r="L275" s="186"/>
      <c r="M275" s="186"/>
      <c r="N275" s="190"/>
      <c r="O275" s="190"/>
      <c r="P275" s="75"/>
      <c r="Q275" s="75"/>
    </row>
    <row r="276" spans="2:17">
      <c r="B276" s="165"/>
      <c r="C276" s="165"/>
      <c r="E276" s="62"/>
      <c r="F276" s="63"/>
      <c r="G276" s="63"/>
      <c r="H276" s="63"/>
      <c r="I276" s="63"/>
      <c r="J276" s="101"/>
      <c r="L276" s="186"/>
      <c r="M276" s="186"/>
      <c r="N276" s="190"/>
      <c r="O276" s="190"/>
      <c r="P276" s="75"/>
      <c r="Q276" s="75"/>
    </row>
    <row r="277" spans="2:17">
      <c r="B277" s="165"/>
      <c r="C277" s="165"/>
      <c r="E277" s="62"/>
      <c r="F277" s="63"/>
      <c r="G277" s="63"/>
      <c r="H277" s="63"/>
      <c r="I277" s="63"/>
      <c r="J277" s="101"/>
      <c r="L277" s="186"/>
      <c r="M277" s="186"/>
      <c r="N277" s="190"/>
      <c r="O277" s="190"/>
      <c r="P277" s="75"/>
      <c r="Q277" s="75"/>
    </row>
    <row r="278" spans="2:17">
      <c r="B278" s="165"/>
      <c r="C278" s="165"/>
      <c r="E278" s="62"/>
      <c r="F278" s="63"/>
      <c r="G278" s="63"/>
      <c r="H278" s="63"/>
      <c r="I278" s="63"/>
      <c r="J278" s="101"/>
      <c r="L278" s="186"/>
      <c r="M278" s="186"/>
      <c r="N278" s="190"/>
      <c r="O278" s="190"/>
      <c r="P278" s="75"/>
      <c r="Q278" s="75"/>
    </row>
    <row r="279" spans="2:17">
      <c r="B279" s="165"/>
      <c r="C279" s="165"/>
      <c r="E279" s="62"/>
      <c r="F279" s="63"/>
      <c r="G279" s="63"/>
      <c r="H279" s="63"/>
      <c r="I279" s="63"/>
      <c r="J279" s="101"/>
      <c r="L279" s="186"/>
      <c r="M279" s="186"/>
      <c r="N279" s="190"/>
      <c r="O279" s="190"/>
      <c r="P279" s="75"/>
      <c r="Q279" s="75"/>
    </row>
    <row r="280" spans="2:17">
      <c r="B280" s="165"/>
      <c r="C280" s="165"/>
      <c r="E280" s="62"/>
      <c r="F280" s="63"/>
      <c r="G280" s="63"/>
      <c r="H280" s="63"/>
      <c r="I280" s="63"/>
      <c r="J280" s="101"/>
      <c r="L280" s="186"/>
      <c r="M280" s="186"/>
      <c r="N280" s="190"/>
      <c r="O280" s="190"/>
      <c r="P280" s="75"/>
      <c r="Q280" s="75"/>
    </row>
    <row r="281" spans="2:17">
      <c r="B281" s="165"/>
      <c r="C281" s="165"/>
      <c r="E281" s="62"/>
      <c r="F281" s="63"/>
      <c r="G281" s="63"/>
      <c r="H281" s="63"/>
      <c r="I281" s="63"/>
      <c r="J281" s="101"/>
      <c r="L281" s="186"/>
      <c r="M281" s="186"/>
      <c r="N281" s="190"/>
      <c r="O281" s="190"/>
      <c r="P281" s="75"/>
      <c r="Q281" s="75"/>
    </row>
    <row r="282" spans="2:17">
      <c r="B282" s="165"/>
      <c r="C282" s="165"/>
      <c r="E282" s="62"/>
      <c r="F282" s="63"/>
      <c r="G282" s="63"/>
      <c r="H282" s="63"/>
      <c r="I282" s="63"/>
      <c r="J282" s="101"/>
      <c r="L282" s="186"/>
      <c r="M282" s="186"/>
      <c r="N282" s="190"/>
      <c r="O282" s="190"/>
      <c r="P282" s="75"/>
      <c r="Q282" s="75"/>
    </row>
    <row r="283" spans="2:17">
      <c r="B283" s="165"/>
      <c r="C283" s="165"/>
      <c r="E283" s="62"/>
      <c r="F283" s="63"/>
      <c r="G283" s="63"/>
      <c r="H283" s="63"/>
      <c r="I283" s="63"/>
      <c r="J283" s="101"/>
      <c r="L283" s="186"/>
      <c r="M283" s="186"/>
      <c r="N283" s="190"/>
      <c r="O283" s="190"/>
      <c r="P283" s="75"/>
      <c r="Q283" s="75"/>
    </row>
    <row r="284" spans="2:17">
      <c r="B284" s="165"/>
      <c r="C284" s="165"/>
      <c r="E284" s="62"/>
      <c r="F284" s="63"/>
      <c r="G284" s="63"/>
      <c r="H284" s="63"/>
      <c r="I284" s="63"/>
      <c r="J284" s="101"/>
      <c r="L284" s="186"/>
      <c r="M284" s="186"/>
      <c r="N284" s="190"/>
      <c r="O284" s="190"/>
      <c r="P284" s="75"/>
      <c r="Q284" s="75"/>
    </row>
    <row r="285" spans="2:17">
      <c r="B285" s="165"/>
      <c r="C285" s="165"/>
      <c r="E285" s="62"/>
      <c r="F285" s="63"/>
      <c r="G285" s="63"/>
      <c r="H285" s="63"/>
      <c r="I285" s="63"/>
      <c r="J285" s="101"/>
      <c r="L285" s="186"/>
      <c r="M285" s="186"/>
      <c r="N285" s="190"/>
      <c r="O285" s="190"/>
      <c r="P285" s="75"/>
      <c r="Q285" s="75"/>
    </row>
    <row r="286" spans="2:17">
      <c r="B286" s="165"/>
      <c r="C286" s="165"/>
      <c r="E286" s="62"/>
      <c r="F286" s="63"/>
      <c r="G286" s="63"/>
      <c r="H286" s="63"/>
      <c r="I286" s="63"/>
      <c r="J286" s="101"/>
      <c r="L286" s="186"/>
      <c r="M286" s="186"/>
      <c r="N286" s="190"/>
      <c r="O286" s="190"/>
      <c r="P286" s="75"/>
      <c r="Q286" s="75"/>
    </row>
    <row r="287" spans="2:17">
      <c r="B287" s="165"/>
      <c r="C287" s="165"/>
      <c r="E287" s="62"/>
      <c r="F287" s="63"/>
      <c r="G287" s="63"/>
      <c r="H287" s="63"/>
      <c r="I287" s="63"/>
      <c r="J287" s="101"/>
      <c r="L287" s="186"/>
      <c r="M287" s="186"/>
      <c r="N287" s="190"/>
      <c r="O287" s="190"/>
      <c r="P287" s="75"/>
      <c r="Q287" s="75"/>
    </row>
    <row r="288" spans="2:17">
      <c r="B288" s="165"/>
      <c r="C288" s="165"/>
      <c r="E288" s="62"/>
      <c r="F288" s="63"/>
      <c r="G288" s="63"/>
      <c r="H288" s="63"/>
      <c r="I288" s="63"/>
      <c r="J288" s="101"/>
      <c r="L288" s="186"/>
      <c r="M288" s="186"/>
      <c r="N288" s="190"/>
      <c r="O288" s="190"/>
      <c r="P288" s="75"/>
      <c r="Q288" s="75"/>
    </row>
    <row r="289" spans="2:17">
      <c r="B289" s="165"/>
      <c r="C289" s="165"/>
      <c r="E289" s="62"/>
      <c r="F289" s="63"/>
      <c r="G289" s="63"/>
      <c r="H289" s="63"/>
      <c r="I289" s="63"/>
      <c r="J289" s="101"/>
      <c r="L289" s="186"/>
      <c r="M289" s="186"/>
      <c r="N289" s="190"/>
      <c r="O289" s="190"/>
      <c r="P289" s="75"/>
      <c r="Q289" s="75"/>
    </row>
    <row r="290" spans="2:17">
      <c r="B290" s="165"/>
      <c r="C290" s="165"/>
      <c r="E290" s="62"/>
      <c r="F290" s="63"/>
      <c r="G290" s="63"/>
      <c r="H290" s="63"/>
      <c r="I290" s="63"/>
      <c r="J290" s="101"/>
      <c r="L290" s="186"/>
      <c r="M290" s="186"/>
      <c r="N290" s="190"/>
      <c r="O290" s="190"/>
      <c r="P290" s="75"/>
      <c r="Q290" s="75"/>
    </row>
    <row r="291" spans="2:17">
      <c r="B291" s="165"/>
      <c r="C291" s="165"/>
      <c r="E291" s="62"/>
      <c r="F291" s="63"/>
      <c r="G291" s="63"/>
      <c r="H291" s="63"/>
      <c r="I291" s="63"/>
      <c r="J291" s="101"/>
      <c r="L291" s="186"/>
      <c r="M291" s="186"/>
      <c r="N291" s="190"/>
      <c r="O291" s="190"/>
      <c r="P291" s="75"/>
      <c r="Q291" s="75"/>
    </row>
    <row r="292" spans="2:17">
      <c r="B292" s="165"/>
      <c r="C292" s="165"/>
      <c r="E292" s="62"/>
      <c r="F292" s="63"/>
      <c r="G292" s="63"/>
      <c r="H292" s="63"/>
      <c r="I292" s="63"/>
      <c r="J292" s="101"/>
      <c r="L292" s="186"/>
      <c r="M292" s="186"/>
      <c r="N292" s="190"/>
      <c r="O292" s="190"/>
      <c r="P292" s="75"/>
      <c r="Q292" s="75"/>
    </row>
    <row r="293" spans="2:17">
      <c r="B293" s="165"/>
      <c r="C293" s="165"/>
      <c r="E293" s="62"/>
      <c r="F293" s="63"/>
      <c r="G293" s="63"/>
      <c r="H293" s="63"/>
      <c r="I293" s="63"/>
      <c r="J293" s="101"/>
      <c r="L293" s="186"/>
      <c r="M293" s="186"/>
      <c r="N293" s="190"/>
      <c r="O293" s="190"/>
      <c r="P293" s="75"/>
      <c r="Q293" s="75"/>
    </row>
    <row r="294" spans="2:17">
      <c r="B294" s="165"/>
      <c r="C294" s="165"/>
      <c r="E294" s="62"/>
      <c r="F294" s="63"/>
      <c r="G294" s="63"/>
      <c r="H294" s="63"/>
      <c r="I294" s="63"/>
      <c r="J294" s="101"/>
      <c r="L294" s="186"/>
      <c r="M294" s="186"/>
      <c r="N294" s="190"/>
      <c r="O294" s="190"/>
      <c r="P294" s="75"/>
      <c r="Q294" s="75"/>
    </row>
    <row r="295" spans="2:17">
      <c r="B295" s="165"/>
      <c r="C295" s="165"/>
      <c r="E295" s="62"/>
      <c r="F295" s="63"/>
      <c r="G295" s="63"/>
      <c r="H295" s="63"/>
      <c r="I295" s="63"/>
      <c r="J295" s="101"/>
      <c r="L295" s="186"/>
      <c r="M295" s="186"/>
      <c r="N295" s="190"/>
      <c r="O295" s="190"/>
      <c r="P295" s="75"/>
      <c r="Q295" s="75"/>
    </row>
    <row r="296" spans="2:17">
      <c r="B296" s="165"/>
      <c r="C296" s="165"/>
      <c r="E296" s="62"/>
      <c r="F296" s="63"/>
      <c r="G296" s="63"/>
      <c r="H296" s="63"/>
      <c r="I296" s="63"/>
      <c r="J296" s="101"/>
      <c r="L296" s="186"/>
      <c r="M296" s="186"/>
      <c r="N296" s="190"/>
      <c r="O296" s="190"/>
      <c r="P296" s="75"/>
      <c r="Q296" s="75"/>
    </row>
    <row r="297" spans="2:17">
      <c r="B297" s="165"/>
      <c r="C297" s="165"/>
      <c r="E297" s="62"/>
      <c r="F297" s="63"/>
      <c r="G297" s="63"/>
      <c r="H297" s="63"/>
      <c r="I297" s="63"/>
      <c r="J297" s="101"/>
      <c r="L297" s="186"/>
      <c r="M297" s="186"/>
      <c r="N297" s="190"/>
      <c r="O297" s="190"/>
      <c r="P297" s="75"/>
      <c r="Q297" s="75"/>
    </row>
    <row r="298" spans="2:17">
      <c r="B298" s="165"/>
      <c r="C298" s="165"/>
      <c r="E298" s="62"/>
      <c r="F298" s="63"/>
      <c r="G298" s="63"/>
      <c r="H298" s="63"/>
      <c r="I298" s="63"/>
      <c r="J298" s="101"/>
      <c r="L298" s="186"/>
      <c r="M298" s="186"/>
      <c r="N298" s="190"/>
      <c r="O298" s="190"/>
      <c r="P298" s="75"/>
      <c r="Q298" s="75"/>
    </row>
    <row r="299" spans="2:17">
      <c r="B299" s="165"/>
      <c r="C299" s="165"/>
      <c r="E299" s="62"/>
      <c r="F299" s="63"/>
      <c r="G299" s="63"/>
      <c r="H299" s="63"/>
      <c r="I299" s="63"/>
      <c r="J299" s="101"/>
      <c r="L299" s="186"/>
      <c r="M299" s="186"/>
      <c r="N299" s="190"/>
      <c r="O299" s="190"/>
      <c r="P299" s="75"/>
      <c r="Q299" s="75"/>
    </row>
    <row r="300" spans="2:17">
      <c r="B300" s="165"/>
      <c r="C300" s="165"/>
      <c r="E300" s="62"/>
      <c r="F300" s="63"/>
      <c r="G300" s="63"/>
      <c r="H300" s="63"/>
      <c r="I300" s="63"/>
      <c r="J300" s="101"/>
      <c r="L300" s="186"/>
      <c r="M300" s="186"/>
      <c r="N300" s="190"/>
      <c r="O300" s="190"/>
      <c r="P300" s="75"/>
      <c r="Q300" s="75"/>
    </row>
    <row r="301" spans="2:17">
      <c r="B301" s="165"/>
      <c r="C301" s="165"/>
      <c r="E301" s="62"/>
      <c r="F301" s="63"/>
      <c r="G301" s="63"/>
      <c r="H301" s="63"/>
      <c r="I301" s="63"/>
      <c r="J301" s="101"/>
      <c r="L301" s="186"/>
      <c r="M301" s="186"/>
      <c r="N301" s="190"/>
      <c r="O301" s="190"/>
      <c r="P301" s="75"/>
      <c r="Q301" s="75"/>
    </row>
    <row r="302" spans="2:17">
      <c r="B302" s="165"/>
      <c r="C302" s="165"/>
      <c r="E302" s="62"/>
      <c r="F302" s="63"/>
      <c r="G302" s="63"/>
      <c r="H302" s="63"/>
      <c r="I302" s="63"/>
      <c r="J302" s="101"/>
      <c r="L302" s="186"/>
      <c r="M302" s="186"/>
      <c r="N302" s="190"/>
      <c r="O302" s="190"/>
      <c r="P302" s="75"/>
      <c r="Q302" s="75"/>
    </row>
    <row r="303" spans="2:17">
      <c r="B303" s="165"/>
      <c r="C303" s="165"/>
      <c r="E303" s="62"/>
      <c r="F303" s="63"/>
      <c r="G303" s="63"/>
      <c r="H303" s="63"/>
      <c r="I303" s="63"/>
      <c r="J303" s="101"/>
      <c r="L303" s="186"/>
      <c r="M303" s="186"/>
      <c r="N303" s="190"/>
      <c r="O303" s="190"/>
      <c r="P303" s="75"/>
      <c r="Q303" s="75"/>
    </row>
    <row r="304" spans="2:17">
      <c r="B304" s="165"/>
      <c r="C304" s="165"/>
      <c r="E304" s="62"/>
      <c r="F304" s="63"/>
      <c r="G304" s="63"/>
      <c r="H304" s="63"/>
      <c r="I304" s="63"/>
      <c r="J304" s="101"/>
      <c r="L304" s="186"/>
      <c r="M304" s="186"/>
      <c r="N304" s="190"/>
      <c r="O304" s="190"/>
      <c r="P304" s="75"/>
      <c r="Q304" s="75"/>
    </row>
    <row r="305" spans="2:17">
      <c r="B305" s="165"/>
      <c r="C305" s="165"/>
      <c r="E305" s="62"/>
      <c r="F305" s="63"/>
      <c r="G305" s="63"/>
      <c r="H305" s="63"/>
      <c r="I305" s="63"/>
      <c r="J305" s="101"/>
      <c r="L305" s="186"/>
      <c r="M305" s="186"/>
      <c r="N305" s="190"/>
      <c r="O305" s="190"/>
      <c r="P305" s="75"/>
      <c r="Q305" s="75"/>
    </row>
    <row r="306" spans="2:17">
      <c r="B306" s="165"/>
      <c r="C306" s="165"/>
      <c r="E306" s="62"/>
      <c r="F306" s="63"/>
      <c r="G306" s="63"/>
      <c r="H306" s="63"/>
      <c r="I306" s="63"/>
      <c r="J306" s="101"/>
      <c r="L306" s="186"/>
      <c r="M306" s="186"/>
      <c r="N306" s="190"/>
      <c r="O306" s="190"/>
      <c r="P306" s="75"/>
      <c r="Q306" s="75"/>
    </row>
    <row r="307" spans="2:17">
      <c r="B307" s="165"/>
      <c r="C307" s="165"/>
      <c r="E307" s="62"/>
      <c r="F307" s="63"/>
      <c r="G307" s="63"/>
      <c r="H307" s="63"/>
      <c r="I307" s="63"/>
      <c r="J307" s="101"/>
      <c r="L307" s="186"/>
      <c r="M307" s="186"/>
      <c r="N307" s="190"/>
      <c r="O307" s="190"/>
      <c r="P307" s="75"/>
      <c r="Q307" s="75"/>
    </row>
    <row r="308" spans="2:17">
      <c r="B308" s="165"/>
      <c r="C308" s="165"/>
      <c r="E308" s="62"/>
      <c r="F308" s="63"/>
      <c r="G308" s="63"/>
      <c r="H308" s="63"/>
      <c r="I308" s="63"/>
      <c r="J308" s="101"/>
      <c r="L308" s="186"/>
      <c r="M308" s="186"/>
      <c r="N308" s="190"/>
      <c r="O308" s="190"/>
      <c r="P308" s="75"/>
      <c r="Q308" s="75"/>
    </row>
    <row r="309" spans="2:17">
      <c r="B309" s="165"/>
      <c r="C309" s="165"/>
      <c r="E309" s="62"/>
      <c r="F309" s="63"/>
      <c r="G309" s="63"/>
      <c r="H309" s="63"/>
      <c r="I309" s="63"/>
      <c r="J309" s="101"/>
      <c r="L309" s="186"/>
      <c r="M309" s="186"/>
      <c r="N309" s="190"/>
      <c r="O309" s="190"/>
      <c r="P309" s="75"/>
      <c r="Q309" s="75"/>
    </row>
    <row r="310" spans="2:17">
      <c r="B310" s="165"/>
      <c r="C310" s="165"/>
      <c r="E310" s="62"/>
      <c r="F310" s="63"/>
      <c r="G310" s="63"/>
      <c r="H310" s="63"/>
      <c r="I310" s="63"/>
      <c r="J310" s="101"/>
      <c r="L310" s="186"/>
      <c r="M310" s="186"/>
      <c r="N310" s="190"/>
      <c r="O310" s="190"/>
      <c r="P310" s="75"/>
      <c r="Q310" s="75"/>
    </row>
    <row r="311" spans="2:17">
      <c r="B311" s="165"/>
      <c r="C311" s="165"/>
      <c r="E311" s="62"/>
      <c r="F311" s="63"/>
      <c r="G311" s="63"/>
      <c r="H311" s="63"/>
      <c r="I311" s="63"/>
      <c r="J311" s="101"/>
      <c r="L311" s="186"/>
      <c r="M311" s="186"/>
      <c r="N311" s="190"/>
      <c r="O311" s="190"/>
      <c r="P311" s="75"/>
      <c r="Q311" s="75"/>
    </row>
    <row r="312" spans="2:17">
      <c r="B312" s="165"/>
      <c r="C312" s="165"/>
      <c r="E312" s="62"/>
      <c r="F312" s="63"/>
      <c r="G312" s="63"/>
      <c r="H312" s="63"/>
      <c r="I312" s="63"/>
      <c r="J312" s="101"/>
      <c r="L312" s="186"/>
      <c r="M312" s="186"/>
      <c r="N312" s="190"/>
      <c r="O312" s="190"/>
      <c r="P312" s="75"/>
      <c r="Q312" s="75"/>
    </row>
    <row r="313" spans="2:17">
      <c r="B313" s="165"/>
      <c r="C313" s="165"/>
      <c r="E313" s="62"/>
      <c r="F313" s="63"/>
      <c r="G313" s="63"/>
      <c r="H313" s="63"/>
      <c r="I313" s="63"/>
      <c r="J313" s="101"/>
      <c r="L313" s="186"/>
      <c r="M313" s="186"/>
      <c r="N313" s="190"/>
      <c r="O313" s="190"/>
      <c r="P313" s="75"/>
      <c r="Q313" s="75"/>
    </row>
    <row r="314" spans="2:17">
      <c r="B314" s="165"/>
      <c r="C314" s="165"/>
      <c r="E314" s="62"/>
      <c r="F314" s="63"/>
      <c r="G314" s="63"/>
      <c r="H314" s="63"/>
      <c r="I314" s="63"/>
      <c r="J314" s="101"/>
      <c r="L314" s="186"/>
      <c r="M314" s="186"/>
      <c r="N314" s="190"/>
      <c r="O314" s="190"/>
      <c r="P314" s="75"/>
      <c r="Q314" s="75"/>
    </row>
    <row r="315" spans="2:17">
      <c r="B315" s="165"/>
      <c r="C315" s="165"/>
      <c r="E315" s="62"/>
      <c r="F315" s="63"/>
      <c r="G315" s="63"/>
      <c r="H315" s="63"/>
      <c r="I315" s="63"/>
      <c r="J315" s="101"/>
      <c r="L315" s="186"/>
      <c r="M315" s="186"/>
      <c r="N315" s="190"/>
      <c r="O315" s="190"/>
      <c r="P315" s="75"/>
      <c r="Q315" s="75"/>
    </row>
    <row r="316" spans="2:17">
      <c r="B316" s="165"/>
      <c r="C316" s="165"/>
      <c r="E316" s="62"/>
      <c r="F316" s="63"/>
      <c r="G316" s="63"/>
      <c r="H316" s="63"/>
      <c r="I316" s="63"/>
      <c r="J316" s="101"/>
      <c r="L316" s="186"/>
      <c r="M316" s="186"/>
      <c r="N316" s="190"/>
      <c r="O316" s="190"/>
      <c r="P316" s="75"/>
      <c r="Q316" s="75"/>
    </row>
    <row r="317" spans="2:17">
      <c r="B317" s="165"/>
      <c r="C317" s="165"/>
      <c r="E317" s="62"/>
      <c r="F317" s="63"/>
      <c r="G317" s="63"/>
      <c r="H317" s="63"/>
      <c r="I317" s="63"/>
      <c r="J317" s="101"/>
      <c r="L317" s="186"/>
      <c r="M317" s="186"/>
      <c r="N317" s="190"/>
      <c r="O317" s="190"/>
      <c r="P317" s="75"/>
      <c r="Q317" s="75"/>
    </row>
    <row r="318" spans="2:17">
      <c r="B318" s="165"/>
      <c r="C318" s="165"/>
      <c r="E318" s="62"/>
      <c r="F318" s="63"/>
      <c r="G318" s="63"/>
      <c r="H318" s="63"/>
      <c r="I318" s="63"/>
      <c r="J318" s="101"/>
      <c r="L318" s="186"/>
      <c r="M318" s="186"/>
      <c r="N318" s="190"/>
      <c r="O318" s="190"/>
      <c r="P318" s="75"/>
      <c r="Q318" s="75"/>
    </row>
    <row r="319" spans="2:17">
      <c r="B319" s="165"/>
      <c r="C319" s="165"/>
      <c r="E319" s="62"/>
      <c r="F319" s="63"/>
      <c r="G319" s="63"/>
      <c r="H319" s="63"/>
      <c r="I319" s="63"/>
      <c r="J319" s="101"/>
      <c r="L319" s="186"/>
      <c r="M319" s="186"/>
      <c r="N319" s="190"/>
      <c r="O319" s="190"/>
      <c r="P319" s="75"/>
      <c r="Q319" s="75"/>
    </row>
    <row r="320" spans="2:17">
      <c r="B320" s="165"/>
      <c r="C320" s="165"/>
      <c r="E320" s="62"/>
      <c r="F320" s="63"/>
      <c r="G320" s="63"/>
      <c r="H320" s="63"/>
      <c r="I320" s="63"/>
      <c r="J320" s="101"/>
      <c r="L320" s="186"/>
      <c r="M320" s="186"/>
      <c r="N320" s="190"/>
      <c r="O320" s="190"/>
      <c r="P320" s="75"/>
      <c r="Q320" s="75"/>
    </row>
    <row r="321" spans="2:17">
      <c r="B321" s="165"/>
      <c r="C321" s="165"/>
      <c r="E321" s="62"/>
      <c r="F321" s="63"/>
      <c r="G321" s="63"/>
      <c r="H321" s="63"/>
      <c r="I321" s="63"/>
      <c r="J321" s="101"/>
      <c r="L321" s="186"/>
      <c r="M321" s="186"/>
      <c r="N321" s="190"/>
      <c r="O321" s="190"/>
      <c r="P321" s="75"/>
      <c r="Q321" s="75"/>
    </row>
    <row r="322" spans="2:17">
      <c r="B322" s="165"/>
      <c r="C322" s="165"/>
      <c r="E322" s="62"/>
      <c r="F322" s="63"/>
      <c r="G322" s="63"/>
      <c r="H322" s="63"/>
      <c r="I322" s="63"/>
      <c r="J322" s="101"/>
      <c r="L322" s="186"/>
      <c r="M322" s="186"/>
      <c r="N322" s="190"/>
      <c r="O322" s="190"/>
      <c r="P322" s="75"/>
      <c r="Q322" s="75"/>
    </row>
    <row r="323" spans="2:17">
      <c r="B323" s="165"/>
      <c r="C323" s="165"/>
      <c r="E323" s="62"/>
      <c r="F323" s="63"/>
      <c r="G323" s="63"/>
      <c r="H323" s="63"/>
      <c r="I323" s="63"/>
      <c r="J323" s="101"/>
      <c r="L323" s="186"/>
      <c r="M323" s="186"/>
      <c r="N323" s="190"/>
      <c r="O323" s="190"/>
      <c r="P323" s="75"/>
      <c r="Q323" s="75"/>
    </row>
    <row r="324" spans="2:17">
      <c r="B324" s="165"/>
      <c r="C324" s="165"/>
      <c r="E324" s="62"/>
      <c r="F324" s="63"/>
      <c r="G324" s="63"/>
      <c r="H324" s="63"/>
      <c r="I324" s="63"/>
      <c r="J324" s="101"/>
      <c r="L324" s="186"/>
      <c r="M324" s="186"/>
      <c r="N324" s="190"/>
      <c r="O324" s="190"/>
      <c r="P324" s="75"/>
      <c r="Q324" s="75"/>
    </row>
    <row r="325" spans="2:17">
      <c r="B325" s="165"/>
      <c r="C325" s="165"/>
      <c r="E325" s="62"/>
      <c r="F325" s="63"/>
      <c r="G325" s="63"/>
      <c r="H325" s="63"/>
      <c r="I325" s="63"/>
      <c r="J325" s="101"/>
      <c r="L325" s="186"/>
      <c r="M325" s="186"/>
      <c r="N325" s="190"/>
      <c r="O325" s="190"/>
      <c r="P325" s="75"/>
      <c r="Q325" s="75"/>
    </row>
    <row r="326" spans="2:17">
      <c r="B326" s="165"/>
      <c r="C326" s="165"/>
      <c r="E326" s="62"/>
      <c r="F326" s="63"/>
      <c r="G326" s="63"/>
      <c r="H326" s="63"/>
      <c r="I326" s="63"/>
      <c r="J326" s="101"/>
      <c r="L326" s="186"/>
      <c r="M326" s="186"/>
      <c r="N326" s="190"/>
      <c r="O326" s="190"/>
      <c r="P326" s="75"/>
      <c r="Q326" s="75"/>
    </row>
    <row r="327" spans="2:17">
      <c r="B327" s="165"/>
      <c r="C327" s="165"/>
      <c r="E327" s="62"/>
      <c r="F327" s="63"/>
      <c r="G327" s="63"/>
      <c r="H327" s="63"/>
      <c r="I327" s="63"/>
      <c r="J327" s="101"/>
      <c r="L327" s="186"/>
      <c r="M327" s="186"/>
      <c r="N327" s="190"/>
      <c r="O327" s="190"/>
      <c r="P327" s="75"/>
      <c r="Q327" s="75"/>
    </row>
    <row r="328" spans="2:17">
      <c r="B328" s="165"/>
      <c r="C328" s="165"/>
      <c r="E328" s="62"/>
      <c r="F328" s="63"/>
      <c r="G328" s="63"/>
      <c r="H328" s="63"/>
      <c r="I328" s="63"/>
      <c r="J328" s="101"/>
      <c r="L328" s="186"/>
      <c r="M328" s="186"/>
      <c r="N328" s="190"/>
      <c r="O328" s="190"/>
      <c r="P328" s="75"/>
      <c r="Q328" s="75"/>
    </row>
    <row r="329" spans="2:17">
      <c r="B329" s="165"/>
      <c r="C329" s="165"/>
      <c r="E329" s="62"/>
      <c r="F329" s="63"/>
      <c r="G329" s="63"/>
      <c r="H329" s="63"/>
      <c r="I329" s="63"/>
      <c r="J329" s="101"/>
      <c r="L329" s="186"/>
      <c r="M329" s="186"/>
      <c r="N329" s="190"/>
      <c r="O329" s="190"/>
      <c r="P329" s="75"/>
      <c r="Q329" s="75"/>
    </row>
    <row r="330" spans="2:17">
      <c r="B330" s="165"/>
      <c r="C330" s="165"/>
      <c r="E330" s="62"/>
      <c r="F330" s="63"/>
      <c r="G330" s="63"/>
      <c r="H330" s="63"/>
      <c r="I330" s="63"/>
      <c r="J330" s="101"/>
      <c r="L330" s="186"/>
      <c r="M330" s="186"/>
      <c r="N330" s="190"/>
      <c r="O330" s="190"/>
      <c r="P330" s="75"/>
      <c r="Q330" s="75"/>
    </row>
    <row r="331" spans="2:17">
      <c r="B331" s="165"/>
      <c r="C331" s="165"/>
      <c r="E331" s="62"/>
      <c r="F331" s="63"/>
      <c r="G331" s="63"/>
      <c r="H331" s="63"/>
      <c r="I331" s="63"/>
      <c r="J331" s="101"/>
      <c r="L331" s="186"/>
      <c r="M331" s="186"/>
      <c r="N331" s="190"/>
      <c r="O331" s="190"/>
      <c r="P331" s="75"/>
      <c r="Q331" s="75"/>
    </row>
    <row r="332" spans="2:17">
      <c r="B332" s="165"/>
      <c r="C332" s="165"/>
      <c r="E332" s="62"/>
      <c r="F332" s="63"/>
      <c r="G332" s="63"/>
      <c r="H332" s="63"/>
      <c r="I332" s="63"/>
      <c r="J332" s="101"/>
      <c r="L332" s="186"/>
      <c r="M332" s="186"/>
      <c r="N332" s="190"/>
      <c r="O332" s="190"/>
      <c r="P332" s="75"/>
      <c r="Q332" s="75"/>
    </row>
    <row r="333" spans="2:17">
      <c r="B333" s="165"/>
      <c r="C333" s="165"/>
      <c r="E333" s="62"/>
      <c r="F333" s="63"/>
      <c r="G333" s="63"/>
      <c r="H333" s="63"/>
      <c r="I333" s="63"/>
      <c r="J333" s="101"/>
      <c r="L333" s="186"/>
      <c r="M333" s="186"/>
      <c r="N333" s="190"/>
      <c r="O333" s="190"/>
      <c r="P333" s="75"/>
      <c r="Q333" s="75"/>
    </row>
    <row r="334" spans="2:17">
      <c r="B334" s="165"/>
      <c r="C334" s="165"/>
      <c r="E334" s="62"/>
      <c r="F334" s="63"/>
      <c r="G334" s="63"/>
      <c r="H334" s="63"/>
      <c r="I334" s="63"/>
      <c r="J334" s="101"/>
      <c r="L334" s="186"/>
      <c r="M334" s="186"/>
      <c r="N334" s="190"/>
      <c r="O334" s="190"/>
      <c r="P334" s="75"/>
      <c r="Q334" s="75"/>
    </row>
    <row r="335" spans="2:17">
      <c r="B335" s="165"/>
      <c r="C335" s="165"/>
      <c r="E335" s="62"/>
      <c r="F335" s="63"/>
      <c r="G335" s="63"/>
      <c r="H335" s="63"/>
      <c r="I335" s="63"/>
      <c r="J335" s="101"/>
      <c r="L335" s="186"/>
      <c r="M335" s="186"/>
      <c r="N335" s="190"/>
      <c r="O335" s="190"/>
      <c r="P335" s="75"/>
      <c r="Q335" s="75"/>
    </row>
    <row r="336" spans="2:17">
      <c r="B336" s="165"/>
      <c r="C336" s="165"/>
      <c r="E336" s="62"/>
      <c r="F336" s="63"/>
      <c r="G336" s="63"/>
      <c r="H336" s="63"/>
      <c r="I336" s="63"/>
      <c r="J336" s="101"/>
      <c r="L336" s="186"/>
      <c r="M336" s="186"/>
      <c r="N336" s="190"/>
      <c r="O336" s="190"/>
      <c r="P336" s="75"/>
      <c r="Q336" s="75"/>
    </row>
    <row r="337" spans="2:18">
      <c r="B337" s="165"/>
      <c r="C337" s="165"/>
      <c r="E337" s="62"/>
      <c r="F337" s="63"/>
      <c r="G337" s="63"/>
      <c r="H337" s="63"/>
      <c r="I337" s="63"/>
      <c r="J337" s="101"/>
      <c r="L337" s="186"/>
      <c r="M337" s="186"/>
      <c r="N337" s="190"/>
      <c r="O337" s="190"/>
      <c r="P337" s="75"/>
      <c r="Q337" s="75"/>
    </row>
    <row r="338" spans="2:18">
      <c r="B338" s="165"/>
      <c r="C338" s="165"/>
      <c r="E338" s="62"/>
      <c r="F338" s="63"/>
      <c r="G338" s="63"/>
      <c r="H338" s="63"/>
      <c r="I338" s="63"/>
      <c r="J338" s="101"/>
      <c r="L338" s="186"/>
      <c r="M338" s="186"/>
      <c r="N338" s="190"/>
      <c r="O338" s="190"/>
      <c r="P338" s="75"/>
      <c r="Q338" s="75"/>
    </row>
    <row r="339" spans="2:18">
      <c r="B339" s="165"/>
      <c r="C339" s="165"/>
      <c r="E339" s="62"/>
      <c r="F339" s="63"/>
      <c r="G339" s="63"/>
      <c r="H339" s="63"/>
      <c r="I339" s="63"/>
      <c r="J339" s="101"/>
      <c r="L339" s="186"/>
      <c r="M339" s="186"/>
      <c r="N339" s="190"/>
      <c r="O339" s="190"/>
      <c r="P339" s="75"/>
      <c r="Q339" s="75"/>
    </row>
    <row r="340" spans="2:18">
      <c r="B340" s="165"/>
      <c r="C340" s="165"/>
      <c r="E340" s="62"/>
      <c r="F340" s="63"/>
      <c r="G340" s="63"/>
      <c r="H340" s="63"/>
      <c r="I340" s="63"/>
      <c r="J340" s="101"/>
      <c r="L340" s="186"/>
      <c r="M340" s="186"/>
      <c r="N340" s="190"/>
      <c r="O340" s="190"/>
      <c r="P340" s="75"/>
      <c r="Q340" s="75"/>
    </row>
    <row r="341" spans="2:18">
      <c r="B341" s="165"/>
      <c r="C341" s="165"/>
      <c r="E341" s="62"/>
      <c r="F341" s="63"/>
      <c r="G341" s="63"/>
      <c r="H341" s="63"/>
      <c r="I341" s="63"/>
      <c r="J341" s="101"/>
      <c r="L341" s="186"/>
      <c r="M341" s="186"/>
      <c r="N341" s="190"/>
      <c r="O341" s="190"/>
      <c r="P341" s="75"/>
      <c r="Q341" s="75"/>
    </row>
    <row r="342" spans="2:18">
      <c r="B342" s="165"/>
      <c r="C342" s="165"/>
      <c r="E342" s="62"/>
      <c r="F342" s="63"/>
      <c r="G342" s="63"/>
      <c r="H342" s="63"/>
      <c r="I342" s="63"/>
      <c r="J342" s="101"/>
      <c r="L342" s="186"/>
      <c r="M342" s="186"/>
      <c r="N342" s="190"/>
      <c r="O342" s="190"/>
      <c r="P342" s="75"/>
      <c r="Q342" s="75"/>
    </row>
    <row r="343" spans="2:18">
      <c r="B343" s="165"/>
      <c r="C343" s="165"/>
      <c r="E343" s="62"/>
      <c r="F343" s="63"/>
      <c r="G343" s="63"/>
      <c r="H343" s="63"/>
      <c r="I343" s="63"/>
      <c r="J343" s="101"/>
      <c r="L343" s="186"/>
      <c r="M343" s="186"/>
      <c r="N343" s="190"/>
      <c r="O343" s="190"/>
      <c r="P343" s="75"/>
      <c r="Q343" s="75"/>
    </row>
    <row r="344" spans="2:18">
      <c r="B344" s="165"/>
      <c r="C344" s="165"/>
      <c r="E344" s="62"/>
      <c r="F344" s="63"/>
      <c r="G344" s="63"/>
      <c r="H344" s="63"/>
      <c r="I344" s="63"/>
      <c r="J344" s="101"/>
      <c r="L344" s="186"/>
      <c r="M344" s="186"/>
      <c r="N344" s="190"/>
      <c r="O344" s="190"/>
      <c r="P344" s="75"/>
      <c r="Q344" s="75"/>
    </row>
    <row r="345" spans="2:18">
      <c r="B345" s="165"/>
      <c r="C345" s="165"/>
      <c r="E345" s="62"/>
      <c r="F345" s="63"/>
      <c r="G345" s="63"/>
      <c r="H345" s="63"/>
      <c r="I345" s="63"/>
      <c r="J345" s="101"/>
      <c r="L345" s="186"/>
      <c r="M345" s="186"/>
      <c r="N345" s="190"/>
      <c r="P345" s="165"/>
      <c r="Q345" s="165"/>
      <c r="R345" s="165"/>
    </row>
    <row r="346" spans="2:18">
      <c r="B346" s="165"/>
      <c r="C346" s="165"/>
      <c r="E346" s="62"/>
      <c r="F346" s="63"/>
      <c r="G346" s="63"/>
      <c r="H346" s="63"/>
      <c r="I346" s="63"/>
      <c r="J346" s="101"/>
      <c r="L346" s="186"/>
      <c r="M346" s="186"/>
      <c r="N346" s="190"/>
      <c r="P346" s="165"/>
      <c r="Q346" s="165"/>
      <c r="R346" s="165"/>
    </row>
    <row r="347" spans="2:18">
      <c r="B347" s="165"/>
      <c r="C347" s="165"/>
      <c r="E347" s="62"/>
      <c r="F347" s="63"/>
      <c r="G347" s="63"/>
      <c r="H347" s="63"/>
      <c r="I347" s="63"/>
      <c r="J347" s="101"/>
      <c r="L347" s="186"/>
      <c r="M347" s="186"/>
      <c r="N347" s="190"/>
      <c r="P347" s="165"/>
      <c r="Q347" s="165"/>
      <c r="R347" s="165"/>
    </row>
    <row r="348" spans="2:18">
      <c r="L348" s="186"/>
      <c r="M348" s="186"/>
    </row>
  </sheetData>
  <mergeCells count="463">
    <mergeCell ref="P345:R345"/>
    <mergeCell ref="B346:C346"/>
    <mergeCell ref="P346:R346"/>
    <mergeCell ref="B347:C347"/>
    <mergeCell ref="P347:R347"/>
    <mergeCell ref="B343:C343"/>
    <mergeCell ref="B344:C344"/>
    <mergeCell ref="B345:C345"/>
    <mergeCell ref="B340:C340"/>
    <mergeCell ref="B341:C341"/>
    <mergeCell ref="B342:C342"/>
    <mergeCell ref="L340:M340"/>
    <mergeCell ref="L341:M341"/>
    <mergeCell ref="L342:M342"/>
    <mergeCell ref="L343:M343"/>
    <mergeCell ref="L344:M344"/>
    <mergeCell ref="L345:M345"/>
    <mergeCell ref="L346:M346"/>
    <mergeCell ref="L347:M347"/>
    <mergeCell ref="B337:C337"/>
    <mergeCell ref="B338:C338"/>
    <mergeCell ref="B339:C339"/>
    <mergeCell ref="B334:C334"/>
    <mergeCell ref="B335:C335"/>
    <mergeCell ref="B336:C336"/>
    <mergeCell ref="B331:C331"/>
    <mergeCell ref="B332:C332"/>
    <mergeCell ref="B333:C333"/>
    <mergeCell ref="B328:C328"/>
    <mergeCell ref="B329:C329"/>
    <mergeCell ref="B330:C330"/>
    <mergeCell ref="B325:C325"/>
    <mergeCell ref="B326:C326"/>
    <mergeCell ref="B327:C327"/>
    <mergeCell ref="B322:C322"/>
    <mergeCell ref="B323:C323"/>
    <mergeCell ref="B324:C324"/>
    <mergeCell ref="B319:C319"/>
    <mergeCell ref="B320:C320"/>
    <mergeCell ref="B321:C321"/>
    <mergeCell ref="B316:C316"/>
    <mergeCell ref="B317:C317"/>
    <mergeCell ref="B318:C318"/>
    <mergeCell ref="B313:C313"/>
    <mergeCell ref="B314:C314"/>
    <mergeCell ref="B315:C315"/>
    <mergeCell ref="B310:C310"/>
    <mergeCell ref="B311:C311"/>
    <mergeCell ref="B312:C312"/>
    <mergeCell ref="B307:C307"/>
    <mergeCell ref="B308:C308"/>
    <mergeCell ref="B309:C309"/>
    <mergeCell ref="B304:C304"/>
    <mergeCell ref="B305:C305"/>
    <mergeCell ref="B306:C306"/>
    <mergeCell ref="B301:C301"/>
    <mergeCell ref="B302:C302"/>
    <mergeCell ref="B303:C303"/>
    <mergeCell ref="B298:C298"/>
    <mergeCell ref="B299:C299"/>
    <mergeCell ref="B300:C300"/>
    <mergeCell ref="B295:C295"/>
    <mergeCell ref="B296:C296"/>
    <mergeCell ref="B297:C297"/>
    <mergeCell ref="B292:C292"/>
    <mergeCell ref="B293:C293"/>
    <mergeCell ref="B294:C294"/>
    <mergeCell ref="B289:C289"/>
    <mergeCell ref="B290:C290"/>
    <mergeCell ref="B291:C291"/>
    <mergeCell ref="B286:C286"/>
    <mergeCell ref="B287:C287"/>
    <mergeCell ref="B288:C288"/>
    <mergeCell ref="B283:C283"/>
    <mergeCell ref="B284:C284"/>
    <mergeCell ref="B285:C285"/>
    <mergeCell ref="B280:C280"/>
    <mergeCell ref="B281:C281"/>
    <mergeCell ref="B282:C282"/>
    <mergeCell ref="B277:C277"/>
    <mergeCell ref="B278:C278"/>
    <mergeCell ref="B279:C279"/>
    <mergeCell ref="B274:C274"/>
    <mergeCell ref="B275:C275"/>
    <mergeCell ref="B276:C276"/>
    <mergeCell ref="B271:C271"/>
    <mergeCell ref="B272:C272"/>
    <mergeCell ref="B273:C273"/>
    <mergeCell ref="B268:C268"/>
    <mergeCell ref="B269:C269"/>
    <mergeCell ref="B270:C270"/>
    <mergeCell ref="B265:C265"/>
    <mergeCell ref="B266:C266"/>
    <mergeCell ref="B267:C267"/>
    <mergeCell ref="B262:C262"/>
    <mergeCell ref="B263:C263"/>
    <mergeCell ref="B264:C264"/>
    <mergeCell ref="B259:C259"/>
    <mergeCell ref="B260:C260"/>
    <mergeCell ref="B261:C261"/>
    <mergeCell ref="B256:C256"/>
    <mergeCell ref="B257:C257"/>
    <mergeCell ref="B258:C258"/>
    <mergeCell ref="B253:C253"/>
    <mergeCell ref="B254:C254"/>
    <mergeCell ref="B255:C255"/>
    <mergeCell ref="B250:C250"/>
    <mergeCell ref="B251:C251"/>
    <mergeCell ref="B252:C252"/>
    <mergeCell ref="B247:C247"/>
    <mergeCell ref="B248:C248"/>
    <mergeCell ref="B249:C249"/>
    <mergeCell ref="B244:C244"/>
    <mergeCell ref="B245:C245"/>
    <mergeCell ref="B246:C246"/>
    <mergeCell ref="B241:C241"/>
    <mergeCell ref="B242:C242"/>
    <mergeCell ref="B243:C243"/>
    <mergeCell ref="E239:J240"/>
    <mergeCell ref="E235:J236"/>
    <mergeCell ref="E234:J234"/>
    <mergeCell ref="L229:M229"/>
    <mergeCell ref="L230:M230"/>
    <mergeCell ref="L231:M231"/>
    <mergeCell ref="L232:M232"/>
    <mergeCell ref="L233:M233"/>
    <mergeCell ref="L234:M234"/>
    <mergeCell ref="L235:M235"/>
    <mergeCell ref="L236:M236"/>
    <mergeCell ref="L237:M237"/>
    <mergeCell ref="L238:M238"/>
    <mergeCell ref="L239:M239"/>
    <mergeCell ref="L240:M240"/>
    <mergeCell ref="L214:M214"/>
    <mergeCell ref="L215:M215"/>
    <mergeCell ref="L216:M216"/>
    <mergeCell ref="L218:M218"/>
    <mergeCell ref="L219:M219"/>
    <mergeCell ref="L220:M220"/>
    <mergeCell ref="L221:M221"/>
    <mergeCell ref="L222:M222"/>
    <mergeCell ref="E238:J238"/>
    <mergeCell ref="L223:M223"/>
    <mergeCell ref="L224:M224"/>
    <mergeCell ref="L225:M225"/>
    <mergeCell ref="L226:M226"/>
    <mergeCell ref="L227:M227"/>
    <mergeCell ref="L228:M228"/>
    <mergeCell ref="L205:M205"/>
    <mergeCell ref="L206:M206"/>
    <mergeCell ref="L207:M207"/>
    <mergeCell ref="L208:M208"/>
    <mergeCell ref="L209:M209"/>
    <mergeCell ref="L210:M210"/>
    <mergeCell ref="L211:M211"/>
    <mergeCell ref="L212:M212"/>
    <mergeCell ref="L213:M213"/>
    <mergeCell ref="L197:M197"/>
    <mergeCell ref="L198:M198"/>
    <mergeCell ref="L199:M199"/>
    <mergeCell ref="L200:M200"/>
    <mergeCell ref="L201:M201"/>
    <mergeCell ref="L202:M202"/>
    <mergeCell ref="L203:M203"/>
    <mergeCell ref="L190:M190"/>
    <mergeCell ref="L191:M191"/>
    <mergeCell ref="L192:M192"/>
    <mergeCell ref="L193:M193"/>
    <mergeCell ref="L105:M105"/>
    <mergeCell ref="L106:M106"/>
    <mergeCell ref="L107:M107"/>
    <mergeCell ref="L108:M108"/>
    <mergeCell ref="E183:J184"/>
    <mergeCell ref="L171:M171"/>
    <mergeCell ref="L194:M194"/>
    <mergeCell ref="L195:M195"/>
    <mergeCell ref="L196:M196"/>
    <mergeCell ref="E182:J182"/>
    <mergeCell ref="E106:J106"/>
    <mergeCell ref="E107:J108"/>
    <mergeCell ref="L110:M110"/>
    <mergeCell ref="L130:M130"/>
    <mergeCell ref="L131:M131"/>
    <mergeCell ref="L132:M132"/>
    <mergeCell ref="L133:M133"/>
    <mergeCell ref="L134:M134"/>
    <mergeCell ref="L135:M135"/>
    <mergeCell ref="L109:M109"/>
    <mergeCell ref="L112:M112"/>
    <mergeCell ref="L113:M113"/>
    <mergeCell ref="L114:M114"/>
    <mergeCell ref="L115:M115"/>
    <mergeCell ref="L87:M87"/>
    <mergeCell ref="L89:M89"/>
    <mergeCell ref="L90:M90"/>
    <mergeCell ref="L91:M91"/>
    <mergeCell ref="L82:M82"/>
    <mergeCell ref="L83:M83"/>
    <mergeCell ref="L84:M84"/>
    <mergeCell ref="L85:M85"/>
    <mergeCell ref="L86:M86"/>
    <mergeCell ref="L24:M24"/>
    <mergeCell ref="L25:M25"/>
    <mergeCell ref="L26:M26"/>
    <mergeCell ref="L27:M27"/>
    <mergeCell ref="L28:M28"/>
    <mergeCell ref="L29:M29"/>
    <mergeCell ref="L30:M30"/>
    <mergeCell ref="E53:J53"/>
    <mergeCell ref="P57:R57"/>
    <mergeCell ref="E54:J55"/>
    <mergeCell ref="L54:M54"/>
    <mergeCell ref="L55:M55"/>
    <mergeCell ref="L56:M56"/>
    <mergeCell ref="L57:M57"/>
    <mergeCell ref="L32:M32"/>
    <mergeCell ref="L33:M33"/>
    <mergeCell ref="L34:M34"/>
    <mergeCell ref="L35:M35"/>
    <mergeCell ref="L36:M36"/>
    <mergeCell ref="L37:M37"/>
    <mergeCell ref="L38:M38"/>
    <mergeCell ref="L39:M39"/>
    <mergeCell ref="L40:M40"/>
    <mergeCell ref="L41:M41"/>
    <mergeCell ref="L15:M15"/>
    <mergeCell ref="L16:M16"/>
    <mergeCell ref="L17:M17"/>
    <mergeCell ref="L18:M18"/>
    <mergeCell ref="L19:M19"/>
    <mergeCell ref="L20:M20"/>
    <mergeCell ref="L21:M21"/>
    <mergeCell ref="L22:M22"/>
    <mergeCell ref="L23:M23"/>
    <mergeCell ref="L7:M7"/>
    <mergeCell ref="L8:M8"/>
    <mergeCell ref="L9:M9"/>
    <mergeCell ref="L10:M10"/>
    <mergeCell ref="L11:M11"/>
    <mergeCell ref="L12:M12"/>
    <mergeCell ref="L13:M13"/>
    <mergeCell ref="L14:M14"/>
    <mergeCell ref="P2:R2"/>
    <mergeCell ref="D3:H3"/>
    <mergeCell ref="P3:R3"/>
    <mergeCell ref="C1:D1"/>
    <mergeCell ref="C2:D2"/>
    <mergeCell ref="L1:M1"/>
    <mergeCell ref="L2:M2"/>
    <mergeCell ref="L3:M3"/>
    <mergeCell ref="L4:M4"/>
    <mergeCell ref="P4:R4"/>
    <mergeCell ref="L42:M42"/>
    <mergeCell ref="L43:M43"/>
    <mergeCell ref="L45:M45"/>
    <mergeCell ref="L46:M46"/>
    <mergeCell ref="L47:M47"/>
    <mergeCell ref="L48:M48"/>
    <mergeCell ref="L49:M49"/>
    <mergeCell ref="L50:M50"/>
    <mergeCell ref="L51:M51"/>
    <mergeCell ref="L52:M52"/>
    <mergeCell ref="L53:M53"/>
    <mergeCell ref="L78:M78"/>
    <mergeCell ref="L79:M79"/>
    <mergeCell ref="L80:M80"/>
    <mergeCell ref="L81:M81"/>
    <mergeCell ref="L59:M59"/>
    <mergeCell ref="L60:M60"/>
    <mergeCell ref="L61:M61"/>
    <mergeCell ref="L62:M62"/>
    <mergeCell ref="L63:M63"/>
    <mergeCell ref="L64:M64"/>
    <mergeCell ref="L65:M65"/>
    <mergeCell ref="L66:M66"/>
    <mergeCell ref="L67:M67"/>
    <mergeCell ref="L68:M68"/>
    <mergeCell ref="L69:M69"/>
    <mergeCell ref="L70:M70"/>
    <mergeCell ref="L71:M71"/>
    <mergeCell ref="L72:M72"/>
    <mergeCell ref="L73:M73"/>
    <mergeCell ref="L74:M74"/>
    <mergeCell ref="L76:M76"/>
    <mergeCell ref="L77:M77"/>
    <mergeCell ref="L101:M101"/>
    <mergeCell ref="L102:M102"/>
    <mergeCell ref="L103:M103"/>
    <mergeCell ref="L104:M104"/>
    <mergeCell ref="L92:M92"/>
    <mergeCell ref="L93:M93"/>
    <mergeCell ref="L94:M94"/>
    <mergeCell ref="L95:M95"/>
    <mergeCell ref="L96:M96"/>
    <mergeCell ref="L98:M98"/>
    <mergeCell ref="L99:M99"/>
    <mergeCell ref="L100:M100"/>
    <mergeCell ref="L116:M116"/>
    <mergeCell ref="L117:M117"/>
    <mergeCell ref="L118:M118"/>
    <mergeCell ref="L119:M119"/>
    <mergeCell ref="L120:M120"/>
    <mergeCell ref="L121:M121"/>
    <mergeCell ref="L122:M122"/>
    <mergeCell ref="L123:M123"/>
    <mergeCell ref="L125:M125"/>
    <mergeCell ref="L126:M126"/>
    <mergeCell ref="L127:M127"/>
    <mergeCell ref="L128:M128"/>
    <mergeCell ref="L129:M129"/>
    <mergeCell ref="L145:M145"/>
    <mergeCell ref="L146:M146"/>
    <mergeCell ref="L147:M147"/>
    <mergeCell ref="L148:M148"/>
    <mergeCell ref="L138:M138"/>
    <mergeCell ref="L139:M139"/>
    <mergeCell ref="L140:M140"/>
    <mergeCell ref="L141:M141"/>
    <mergeCell ref="L142:M142"/>
    <mergeCell ref="L143:M143"/>
    <mergeCell ref="L144:M144"/>
    <mergeCell ref="L136:M136"/>
    <mergeCell ref="L137:M137"/>
    <mergeCell ref="L149:M149"/>
    <mergeCell ref="L150:M150"/>
    <mergeCell ref="L151:M151"/>
    <mergeCell ref="L152:M152"/>
    <mergeCell ref="L153:M153"/>
    <mergeCell ref="L167:M167"/>
    <mergeCell ref="L168:M168"/>
    <mergeCell ref="L169:M169"/>
    <mergeCell ref="L170:M170"/>
    <mergeCell ref="L154:M154"/>
    <mergeCell ref="L155:M155"/>
    <mergeCell ref="L156:M156"/>
    <mergeCell ref="L157:M157"/>
    <mergeCell ref="L158:M158"/>
    <mergeCell ref="L159:M159"/>
    <mergeCell ref="L160:M160"/>
    <mergeCell ref="L161:M161"/>
    <mergeCell ref="L162:M162"/>
    <mergeCell ref="L163:M163"/>
    <mergeCell ref="L164:M164"/>
    <mergeCell ref="L165:M165"/>
    <mergeCell ref="L166:M166"/>
    <mergeCell ref="L172:M172"/>
    <mergeCell ref="L173:M173"/>
    <mergeCell ref="L174:M174"/>
    <mergeCell ref="L175:M175"/>
    <mergeCell ref="L185:M185"/>
    <mergeCell ref="L186:M186"/>
    <mergeCell ref="L187:M187"/>
    <mergeCell ref="L188:M188"/>
    <mergeCell ref="L189:M189"/>
    <mergeCell ref="L176:M176"/>
    <mergeCell ref="L177:M177"/>
    <mergeCell ref="L178:M178"/>
    <mergeCell ref="L179:M179"/>
    <mergeCell ref="L180:M180"/>
    <mergeCell ref="L181:M181"/>
    <mergeCell ref="L182:M182"/>
    <mergeCell ref="L183:M183"/>
    <mergeCell ref="L184:M184"/>
    <mergeCell ref="L241:M241"/>
    <mergeCell ref="L242:M242"/>
    <mergeCell ref="L243:M243"/>
    <mergeCell ref="L244:M244"/>
    <mergeCell ref="L245:M245"/>
    <mergeCell ref="L246:M246"/>
    <mergeCell ref="L247:M247"/>
    <mergeCell ref="L248:M248"/>
    <mergeCell ref="L249:M249"/>
    <mergeCell ref="L250:M250"/>
    <mergeCell ref="L251:M251"/>
    <mergeCell ref="L252:M252"/>
    <mergeCell ref="L253:M253"/>
    <mergeCell ref="L254:M254"/>
    <mergeCell ref="L255:M255"/>
    <mergeCell ref="L256:M256"/>
    <mergeCell ref="L257:M257"/>
    <mergeCell ref="L258:M258"/>
    <mergeCell ref="L259:M259"/>
    <mergeCell ref="L260:M260"/>
    <mergeCell ref="L261:M261"/>
    <mergeCell ref="L262:M262"/>
    <mergeCell ref="L263:M263"/>
    <mergeCell ref="L264:M264"/>
    <mergeCell ref="L265:M265"/>
    <mergeCell ref="L266:M266"/>
    <mergeCell ref="L267:M267"/>
    <mergeCell ref="L268:M268"/>
    <mergeCell ref="L269:M269"/>
    <mergeCell ref="L270:M270"/>
    <mergeCell ref="L271:M271"/>
    <mergeCell ref="L272:M272"/>
    <mergeCell ref="L273:M273"/>
    <mergeCell ref="L274:M274"/>
    <mergeCell ref="L275:M275"/>
    <mergeCell ref="L276:M276"/>
    <mergeCell ref="L277:M277"/>
    <mergeCell ref="L278:M278"/>
    <mergeCell ref="L279:M279"/>
    <mergeCell ref="L280:M280"/>
    <mergeCell ref="L281:M281"/>
    <mergeCell ref="L282:M282"/>
    <mergeCell ref="L283:M283"/>
    <mergeCell ref="L284:M284"/>
    <mergeCell ref="L285:M285"/>
    <mergeCell ref="L286:M286"/>
    <mergeCell ref="L287:M287"/>
    <mergeCell ref="L288:M288"/>
    <mergeCell ref="L289:M289"/>
    <mergeCell ref="L290:M290"/>
    <mergeCell ref="L291:M291"/>
    <mergeCell ref="L292:M292"/>
    <mergeCell ref="L293:M293"/>
    <mergeCell ref="L294:M294"/>
    <mergeCell ref="L295:M295"/>
    <mergeCell ref="L296:M296"/>
    <mergeCell ref="L297:M297"/>
    <mergeCell ref="L298:M298"/>
    <mergeCell ref="L299:M299"/>
    <mergeCell ref="L300:M300"/>
    <mergeCell ref="L301:M301"/>
    <mergeCell ref="L302:M302"/>
    <mergeCell ref="L303:M303"/>
    <mergeCell ref="L304:M304"/>
    <mergeCell ref="L305:M305"/>
    <mergeCell ref="L306:M306"/>
    <mergeCell ref="L307:M307"/>
    <mergeCell ref="L308:M308"/>
    <mergeCell ref="L309:M309"/>
    <mergeCell ref="L310:M310"/>
    <mergeCell ref="L311:M311"/>
    <mergeCell ref="L312:M312"/>
    <mergeCell ref="L313:M313"/>
    <mergeCell ref="L314:M314"/>
    <mergeCell ref="L315:M315"/>
    <mergeCell ref="L316:M316"/>
    <mergeCell ref="L317:M317"/>
    <mergeCell ref="L318:M318"/>
    <mergeCell ref="L319:M319"/>
    <mergeCell ref="L320:M320"/>
    <mergeCell ref="L321:M321"/>
    <mergeCell ref="L322:M322"/>
    <mergeCell ref="L323:M323"/>
    <mergeCell ref="L324:M324"/>
    <mergeCell ref="L325:M325"/>
    <mergeCell ref="L326:M326"/>
    <mergeCell ref="L327:M327"/>
    <mergeCell ref="L328:M328"/>
    <mergeCell ref="L329:M329"/>
    <mergeCell ref="L330:M330"/>
    <mergeCell ref="L348:M348"/>
    <mergeCell ref="L331:M331"/>
    <mergeCell ref="L332:M332"/>
    <mergeCell ref="L333:M333"/>
    <mergeCell ref="L334:M334"/>
    <mergeCell ref="L335:M335"/>
    <mergeCell ref="L336:M336"/>
    <mergeCell ref="L337:M337"/>
    <mergeCell ref="L338:M338"/>
    <mergeCell ref="L339:M339"/>
  </mergeCells>
  <dataValidations count="50">
    <dataValidation type="list" allowBlank="1" showInputMessage="1" showErrorMessage="1" sqref="J7" xr:uid="{316F8331-3719-8F43-B9B0-9886D798EC2A}">
      <formula1>$E$8:$J$8</formula1>
    </dataValidation>
    <dataValidation type="list" allowBlank="1" showInputMessage="1" showErrorMessage="1" sqref="J11" xr:uid="{22E345E8-83CA-5D4F-AC12-E6872561DA0C}">
      <formula1>$E$12:$J$12</formula1>
    </dataValidation>
    <dataValidation type="list" allowBlank="1" showInputMessage="1" showErrorMessage="1" sqref="J15" xr:uid="{574D2E97-A455-9D46-98B9-2DFBFCBB2EEC}">
      <formula1>$E$16:$J$16</formula1>
    </dataValidation>
    <dataValidation type="list" allowBlank="1" showInputMessage="1" showErrorMessage="1" sqref="J19" xr:uid="{C635B5A0-882E-914C-8F89-2403BBC42FA4}">
      <formula1>$E$20:$J$20</formula1>
    </dataValidation>
    <dataValidation type="list" allowBlank="1" showInputMessage="1" showErrorMessage="1" sqref="J23" xr:uid="{85BB4814-8D63-9C4F-A8D6-E95B27DC0F12}">
      <formula1>$E$24:$J$24</formula1>
    </dataValidation>
    <dataValidation type="list" allowBlank="1" showInputMessage="1" showErrorMessage="1" sqref="J27" xr:uid="{8F3957FC-D494-7141-8ABF-6A55F01FC271}">
      <formula1>$E$28:$J$28</formula1>
    </dataValidation>
    <dataValidation type="list" allowBlank="1" showInputMessage="1" showErrorMessage="1" sqref="J32" xr:uid="{C8C7E8F5-CCB1-8344-9FA0-2953C1489E28}">
      <formula1>$E$33:$J$33</formula1>
    </dataValidation>
    <dataValidation type="list" allowBlank="1" showInputMessage="1" showErrorMessage="1" sqref="J36" xr:uid="{75511532-B720-2040-8BB1-07D292031FE2}">
      <formula1>$E$37:$J$37</formula1>
    </dataValidation>
    <dataValidation type="list" allowBlank="1" showInputMessage="1" showErrorMessage="1" sqref="J40" xr:uid="{9859A144-7EA7-0A4D-8F4C-C1ADCC82627D}">
      <formula1>$E$41:$J$41</formula1>
    </dataValidation>
    <dataValidation type="list" allowBlank="1" showInputMessage="1" showErrorMessage="1" sqref="J45" xr:uid="{8581031E-F5AD-7A40-87BD-81F926CC263E}">
      <formula1>$E$46:$J$46</formula1>
    </dataValidation>
    <dataValidation type="list" allowBlank="1" showInputMessage="1" showErrorMessage="1" sqref="J49" xr:uid="{3CE9727B-39BD-3340-BF2F-EF77E9372D7D}">
      <formula1>$E$50:$J$50</formula1>
    </dataValidation>
    <dataValidation type="list" allowBlank="1" showInputMessage="1" showErrorMessage="1" sqref="J59" xr:uid="{49F3C6F2-A17A-2A46-B1C5-FEA3A5110F92}">
      <formula1>$E$60:$J$60</formula1>
    </dataValidation>
    <dataValidation type="list" allowBlank="1" showInputMessage="1" showErrorMessage="1" sqref="J63" xr:uid="{6816418A-7337-1C47-8C82-DD451B2AB846}">
      <formula1>$E$64:$J$64</formula1>
    </dataValidation>
    <dataValidation type="list" allowBlank="1" showInputMessage="1" showErrorMessage="1" sqref="J67" xr:uid="{7897B4E7-AF95-0041-815F-D831A9D8DDA4}">
      <formula1>$E$68:$J$68</formula1>
    </dataValidation>
    <dataValidation type="list" allowBlank="1" showInputMessage="1" showErrorMessage="1" sqref="J71" xr:uid="{9E5910EC-3CCD-5240-B63B-3B3642B20633}">
      <formula1>$E$72:$J$72</formula1>
    </dataValidation>
    <dataValidation type="list" allowBlank="1" showInputMessage="1" showErrorMessage="1" sqref="J76" xr:uid="{1891062F-6868-584E-A5E9-43930FBBBC92}">
      <formula1>$E$77:$J$77</formula1>
    </dataValidation>
    <dataValidation type="list" allowBlank="1" showInputMessage="1" showErrorMessage="1" sqref="J80" xr:uid="{DA490B40-8EC5-2346-A42A-6CE66A43FCAB}">
      <formula1>$E$81:$J$81</formula1>
    </dataValidation>
    <dataValidation type="list" allowBlank="1" showInputMessage="1" showErrorMessage="1" sqref="J84" xr:uid="{AEA64296-9614-7545-861F-42CE78C4CD6E}">
      <formula1>$E$85:$K$85</formula1>
    </dataValidation>
    <dataValidation type="list" allowBlank="1" showInputMessage="1" showErrorMessage="1" sqref="J89" xr:uid="{FABB8E8C-4C87-CF47-9AB6-9695185DCF80}">
      <formula1>$E$90:$J$90</formula1>
    </dataValidation>
    <dataValidation type="list" allowBlank="1" showInputMessage="1" showErrorMessage="1" sqref="J93" xr:uid="{EEF017FB-0C8B-EA43-AA1E-6470DE6ED1E4}">
      <formula1>$E$94:$J$94</formula1>
    </dataValidation>
    <dataValidation type="list" allowBlank="1" showInputMessage="1" showErrorMessage="1" sqref="J98" xr:uid="{BB5F4E78-52A6-9E4F-9795-DE9162C92D53}">
      <formula1>$E$99:$J$99</formula1>
    </dataValidation>
    <dataValidation type="list" allowBlank="1" showInputMessage="1" showErrorMessage="1" sqref="J102" xr:uid="{6C853A7C-0346-7548-ACB6-40AF637530E9}">
      <formula1>$E$103:$J$103</formula1>
    </dataValidation>
    <dataValidation type="list" allowBlank="1" showInputMessage="1" showErrorMessage="1" sqref="J112" xr:uid="{0A7BFFA8-5E24-2E4D-B6B2-DB466AC23BF0}">
      <formula1>$E$113:$J$113</formula1>
    </dataValidation>
    <dataValidation type="list" allowBlank="1" showInputMessage="1" showErrorMessage="1" sqref="J116" xr:uid="{E7F5E897-175B-E94D-A75E-58EDB4E9CF3E}">
      <formula1>$E$117:$J$117</formula1>
    </dataValidation>
    <dataValidation type="list" allowBlank="1" showInputMessage="1" showErrorMessage="1" sqref="J120" xr:uid="{67690183-EE1C-CE41-8B90-AEF39831E63C}">
      <formula1>$E$121:$J$121</formula1>
    </dataValidation>
    <dataValidation type="list" allowBlank="1" showInputMessage="1" showErrorMessage="1" sqref="J125" xr:uid="{9038C8D7-84B4-B946-9D41-1B851118C9D3}">
      <formula1>$E$126:$J$126</formula1>
    </dataValidation>
    <dataValidation type="list" allowBlank="1" showInputMessage="1" showErrorMessage="1" sqref="J129" xr:uid="{48A8F2A8-AD83-2144-97F0-509DB7A0A4EB}">
      <formula1>$E$130:$J$130</formula1>
    </dataValidation>
    <dataValidation type="list" allowBlank="1" showInputMessage="1" showErrorMessage="1" sqref="J133" xr:uid="{B40D1762-D3DC-F244-A51F-02E08D3906BE}">
      <formula1>$E$134:$J$134</formula1>
    </dataValidation>
    <dataValidation type="list" allowBlank="1" showInputMessage="1" showErrorMessage="1" sqref="J137" xr:uid="{7680D480-A61A-6941-83E3-BC579C415866}">
      <formula1>$E$138:$J$138</formula1>
    </dataValidation>
    <dataValidation type="list" allowBlank="1" showInputMessage="1" showErrorMessage="1" sqref="J141" xr:uid="{B85E68D5-8AE3-5D49-B050-12E2A5EF542A}">
      <formula1>$E$142:$J$142</formula1>
    </dataValidation>
    <dataValidation type="list" allowBlank="1" showInputMessage="1" showErrorMessage="1" sqref="J145" xr:uid="{1D4DF09C-EA99-3A42-B9B9-58ACEFE30F6B}">
      <formula1>$E$146:$J$146</formula1>
    </dataValidation>
    <dataValidation type="list" allowBlank="1" showInputMessage="1" showErrorMessage="1" sqref="J149" xr:uid="{17157911-E190-1444-9799-5F6FCDCFD23A}">
      <formula1>$E$150:$J$150</formula1>
    </dataValidation>
    <dataValidation type="list" allowBlank="1" showInputMessage="1" showErrorMessage="1" sqref="J154" xr:uid="{A4C082ED-B028-6044-8710-3FF9C2FBF320}">
      <formula1>$E$155:$J$155</formula1>
    </dataValidation>
    <dataValidation type="list" allowBlank="1" showInputMessage="1" showErrorMessage="1" sqref="J158" xr:uid="{A9001C82-AFBF-7F42-8560-1DF22A362B91}">
      <formula1>$E$159:$J$159</formula1>
    </dataValidation>
    <dataValidation type="list" allowBlank="1" showInputMessage="1" showErrorMessage="1" sqref="J162" xr:uid="{4A4A0F07-F88D-7D4D-9263-43E562977471}">
      <formula1>$E$163:$J$163</formula1>
    </dataValidation>
    <dataValidation type="list" allowBlank="1" showInputMessage="1" showErrorMessage="1" sqref="J166" xr:uid="{7CFF2700-EF21-834C-9FDC-31DEF120AD19}">
      <formula1>$E$167:$J$167</formula1>
    </dataValidation>
    <dataValidation type="list" allowBlank="1" showInputMessage="1" showErrorMessage="1" sqref="J170" xr:uid="{F953FD06-501D-0443-8AFA-9907FC5A5EA7}">
      <formula1>$E$171:$J$171</formula1>
    </dataValidation>
    <dataValidation type="list" allowBlank="1" showInputMessage="1" showErrorMessage="1" sqref="J174" xr:uid="{2C681E10-BB94-CB4E-A441-1F97B4D8CA88}">
      <formula1>$E$175:$J$175</formula1>
    </dataValidation>
    <dataValidation type="list" allowBlank="1" showInputMessage="1" showErrorMessage="1" sqref="J178" xr:uid="{3508B7C8-D26D-0B47-9CA4-5713D99A296A}">
      <formula1>$E$179:$J$179</formula1>
    </dataValidation>
    <dataValidation type="list" allowBlank="1" showInputMessage="1" showErrorMessage="1" sqref="J188" xr:uid="{D1988B8B-8DF0-704B-99BE-BCCF51F3EDA8}">
      <formula1>$E$189:$J$189</formula1>
    </dataValidation>
    <dataValidation type="list" allowBlank="1" showInputMessage="1" showErrorMessage="1" sqref="J192" xr:uid="{F47A16D2-3BD5-AA47-B9D9-8AEE319FAED3}">
      <formula1>$E$193:$J$193</formula1>
    </dataValidation>
    <dataValidation type="list" allowBlank="1" showInputMessage="1" showErrorMessage="1" sqref="J196" xr:uid="{EDEDA1FA-7953-4C42-8744-7C8914E43CE3}">
      <formula1>$E$197:$J$197</formula1>
    </dataValidation>
    <dataValidation type="list" allowBlank="1" showInputMessage="1" showErrorMessage="1" sqref="J200" xr:uid="{D1BFBCA1-4ABB-BB49-A0AC-525C7B718994}">
      <formula1>$E$201:$J$201</formula1>
    </dataValidation>
    <dataValidation type="list" allowBlank="1" showInputMessage="1" showErrorMessage="1" sqref="J205" xr:uid="{514ADA62-E37A-C948-9CC6-B41A5F25C982}">
      <formula1>$E$206:$J$206</formula1>
    </dataValidation>
    <dataValidation type="list" allowBlank="1" showInputMessage="1" showErrorMessage="1" sqref="J209" xr:uid="{A7DB300A-0762-3F41-BEF6-0BB3FC4BD827}">
      <formula1>$E$210:$J$210</formula1>
    </dataValidation>
    <dataValidation type="list" allowBlank="1" showInputMessage="1" showErrorMessage="1" sqref="J213" xr:uid="{A649DDC3-B68E-0D43-B683-35FC4F03908E}">
      <formula1>$E$214:$J$214</formula1>
    </dataValidation>
    <dataValidation type="list" allowBlank="1" showInputMessage="1" showErrorMessage="1" sqref="J218" xr:uid="{CCF5E561-7A52-0A4B-B10D-5EA5C9261D9E}">
      <formula1>$E$219:$J$219</formula1>
    </dataValidation>
    <dataValidation type="list" allowBlank="1" showInputMessage="1" showErrorMessage="1" sqref="J222" xr:uid="{D5C930D3-68AD-AA46-874A-2A87CA53BF82}">
      <formula1>$E$223:$J$223</formula1>
    </dataValidation>
    <dataValidation type="list" allowBlank="1" showInputMessage="1" showErrorMessage="1" sqref="J226" xr:uid="{5C79ACC5-F54B-DD4A-8940-E285659AF25E}">
      <formula1>$E$227:$J$227</formula1>
    </dataValidation>
    <dataValidation type="list" allowBlank="1" showInputMessage="1" showErrorMessage="1" sqref="J230" xr:uid="{607072EC-61A0-BF41-BD1D-B70C9ECE80D4}">
      <formula1>$E$231:$J$231</formula1>
    </dataValidation>
  </dataValidations>
  <pageMargins left="0.25" right="0.25" top="0.75" bottom="0.75" header="0.3" footer="0.3"/>
  <pageSetup paperSize="8"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F41A6-FC60-D749-A6C8-93E871486EFD}">
  <dimension ref="A1:CI159"/>
  <sheetViews>
    <sheetView workbookViewId="0">
      <selection activeCell="G29" sqref="G29"/>
    </sheetView>
  </sheetViews>
  <sheetFormatPr baseColWidth="10" defaultColWidth="8.83203125" defaultRowHeight="13"/>
  <cols>
    <col min="1" max="1" width="8.83203125" style="147"/>
    <col min="2" max="2" width="198.5" style="138" customWidth="1"/>
    <col min="3" max="6" width="8.83203125" style="147"/>
    <col min="7" max="7" width="45.6640625" style="138" customWidth="1"/>
    <col min="8" max="87" width="8.83203125" style="147"/>
    <col min="88" max="16384" width="8.83203125" style="138"/>
  </cols>
  <sheetData>
    <row r="1" spans="2:8" s="147" customFormat="1"/>
    <row r="2" spans="2:8" s="147" customFormat="1"/>
    <row r="3" spans="2:8" s="147" customFormat="1"/>
    <row r="4" spans="2:8" ht="19" thickBot="1">
      <c r="B4" s="173" t="s">
        <v>86</v>
      </c>
    </row>
    <row r="5" spans="2:8" ht="20" thickBot="1">
      <c r="B5" s="139" t="s">
        <v>577</v>
      </c>
      <c r="G5" s="147"/>
    </row>
    <row r="6" spans="2:8" ht="20" thickBot="1">
      <c r="B6" s="139" t="s">
        <v>581</v>
      </c>
      <c r="G6" s="147"/>
    </row>
    <row r="7" spans="2:8" ht="20" thickBot="1">
      <c r="B7" s="139" t="s">
        <v>579</v>
      </c>
      <c r="G7" s="147"/>
    </row>
    <row r="8" spans="2:8" ht="20" thickBot="1">
      <c r="B8" s="139" t="s">
        <v>583</v>
      </c>
      <c r="F8" s="155" t="s">
        <v>618</v>
      </c>
      <c r="G8" s="148"/>
      <c r="H8" s="149"/>
    </row>
    <row r="9" spans="2:8" ht="20" thickBot="1">
      <c r="B9" s="139" t="s">
        <v>586</v>
      </c>
      <c r="F9" s="150"/>
      <c r="G9" s="147"/>
      <c r="H9" s="151"/>
    </row>
    <row r="10" spans="2:8" ht="22" thickBot="1">
      <c r="B10" s="139" t="s">
        <v>590</v>
      </c>
      <c r="F10" s="150"/>
      <c r="G10" s="143" t="s">
        <v>5</v>
      </c>
      <c r="H10" s="151"/>
    </row>
    <row r="11" spans="2:8" ht="22" thickBot="1">
      <c r="B11" s="139" t="s">
        <v>592</v>
      </c>
      <c r="F11" s="150"/>
      <c r="G11" s="144" t="s">
        <v>315</v>
      </c>
      <c r="H11" s="151"/>
    </row>
    <row r="12" spans="2:8" ht="21">
      <c r="B12" s="139" t="s">
        <v>594</v>
      </c>
      <c r="F12" s="150"/>
      <c r="G12" s="145" t="s">
        <v>314</v>
      </c>
      <c r="H12" s="151"/>
    </row>
    <row r="13" spans="2:8" ht="22" thickBot="1">
      <c r="B13" s="140" t="s">
        <v>578</v>
      </c>
      <c r="F13" s="150"/>
      <c r="G13" s="146" t="s">
        <v>313</v>
      </c>
      <c r="H13" s="151"/>
    </row>
    <row r="14" spans="2:8" ht="20" thickBot="1">
      <c r="B14" s="140" t="s">
        <v>596</v>
      </c>
      <c r="F14" s="152"/>
      <c r="G14" s="153"/>
      <c r="H14" s="154"/>
    </row>
    <row r="15" spans="2:8" ht="19">
      <c r="B15" s="140" t="s">
        <v>582</v>
      </c>
      <c r="G15" s="147"/>
    </row>
    <row r="16" spans="2:8" ht="19">
      <c r="B16" s="140" t="s">
        <v>588</v>
      </c>
      <c r="G16" s="147"/>
    </row>
    <row r="17" spans="2:7" ht="19">
      <c r="B17" s="140" t="s">
        <v>595</v>
      </c>
      <c r="G17" s="147"/>
    </row>
    <row r="18" spans="2:7" ht="19">
      <c r="B18" s="141" t="s">
        <v>580</v>
      </c>
      <c r="G18" s="147"/>
    </row>
    <row r="19" spans="2:7" ht="19">
      <c r="B19" s="141" t="s">
        <v>584</v>
      </c>
      <c r="G19" s="147"/>
    </row>
    <row r="20" spans="2:7" ht="19">
      <c r="B20" s="141" t="s">
        <v>587</v>
      </c>
      <c r="G20" s="147"/>
    </row>
    <row r="21" spans="2:7" ht="19">
      <c r="B21" s="141" t="s">
        <v>589</v>
      </c>
      <c r="G21" s="147"/>
    </row>
    <row r="22" spans="2:7" ht="19">
      <c r="B22" s="141" t="s">
        <v>591</v>
      </c>
      <c r="G22" s="147"/>
    </row>
    <row r="23" spans="2:7" ht="19">
      <c r="B23" s="141" t="s">
        <v>593</v>
      </c>
      <c r="G23" s="147"/>
    </row>
    <row r="24" spans="2:7" ht="19">
      <c r="B24" s="141" t="s">
        <v>598</v>
      </c>
      <c r="G24" s="147"/>
    </row>
    <row r="25" spans="2:7" ht="20" thickBot="1">
      <c r="B25" s="142" t="s">
        <v>585</v>
      </c>
      <c r="G25" s="147"/>
    </row>
    <row r="26" spans="2:7" ht="20" thickBot="1">
      <c r="B26" s="142" t="s">
        <v>597</v>
      </c>
      <c r="G26" s="147"/>
    </row>
    <row r="27" spans="2:7">
      <c r="B27" s="147" t="s">
        <v>599</v>
      </c>
      <c r="G27" s="147"/>
    </row>
    <row r="28" spans="2:7">
      <c r="B28" s="147"/>
      <c r="G28" s="147"/>
    </row>
    <row r="29" spans="2:7" ht="19" thickBot="1">
      <c r="B29" s="173" t="s">
        <v>142</v>
      </c>
      <c r="G29" s="147"/>
    </row>
    <row r="30" spans="2:7" ht="19">
      <c r="B30" s="139" t="s">
        <v>600</v>
      </c>
      <c r="G30" s="147"/>
    </row>
    <row r="31" spans="2:7" ht="19">
      <c r="B31" s="140" t="s">
        <v>601</v>
      </c>
      <c r="G31" s="147"/>
    </row>
    <row r="32" spans="2:7" ht="19">
      <c r="B32" s="140" t="s">
        <v>602</v>
      </c>
      <c r="G32" s="147"/>
    </row>
    <row r="33" spans="2:7" ht="19">
      <c r="B33" s="141" t="s">
        <v>603</v>
      </c>
      <c r="G33" s="147"/>
    </row>
    <row r="34" spans="2:7" ht="19">
      <c r="B34" s="141" t="s">
        <v>604</v>
      </c>
      <c r="G34" s="147"/>
    </row>
    <row r="35" spans="2:7">
      <c r="B35" s="147"/>
      <c r="G35" s="147"/>
    </row>
    <row r="36" spans="2:7" ht="19" thickBot="1">
      <c r="B36" s="173" t="s">
        <v>176</v>
      </c>
      <c r="G36" s="147"/>
    </row>
    <row r="37" spans="2:7" ht="20" thickBot="1">
      <c r="B37" s="139" t="s">
        <v>608</v>
      </c>
      <c r="G37" s="147"/>
    </row>
    <row r="38" spans="2:7" ht="19">
      <c r="B38" s="139" t="s">
        <v>605</v>
      </c>
      <c r="G38" s="147"/>
    </row>
    <row r="39" spans="2:7" ht="19">
      <c r="B39" s="140" t="s">
        <v>606</v>
      </c>
      <c r="G39" s="147"/>
    </row>
    <row r="40" spans="2:7" ht="19">
      <c r="B40" s="141" t="s">
        <v>607</v>
      </c>
      <c r="G40" s="147"/>
    </row>
    <row r="41" spans="2:7">
      <c r="B41" s="147"/>
      <c r="G41" s="147"/>
    </row>
    <row r="42" spans="2:7">
      <c r="B42" s="147"/>
      <c r="G42" s="147"/>
    </row>
    <row r="43" spans="2:7" ht="19" thickBot="1">
      <c r="B43" s="173" t="s">
        <v>205</v>
      </c>
      <c r="G43" s="147"/>
    </row>
    <row r="44" spans="2:7" ht="20" thickBot="1">
      <c r="B44" s="139" t="s">
        <v>611</v>
      </c>
      <c r="G44" s="147"/>
    </row>
    <row r="45" spans="2:7" ht="20" thickBot="1">
      <c r="B45" s="139" t="s">
        <v>612</v>
      </c>
      <c r="G45" s="147"/>
    </row>
    <row r="46" spans="2:7" ht="19">
      <c r="B46" s="139" t="s">
        <v>614</v>
      </c>
      <c r="G46" s="147"/>
    </row>
    <row r="47" spans="2:7" ht="19">
      <c r="B47" s="140" t="s">
        <v>609</v>
      </c>
      <c r="G47" s="147"/>
    </row>
    <row r="48" spans="2:7" ht="19">
      <c r="B48" s="140" t="s">
        <v>610</v>
      </c>
      <c r="G48" s="147"/>
    </row>
    <row r="49" spans="2:7" ht="19">
      <c r="B49" s="140" t="s">
        <v>615</v>
      </c>
      <c r="G49" s="147"/>
    </row>
    <row r="50" spans="2:7" ht="19">
      <c r="B50" s="141" t="s">
        <v>616</v>
      </c>
      <c r="G50" s="147"/>
    </row>
    <row r="51" spans="2:7" ht="19">
      <c r="B51" s="141" t="s">
        <v>617</v>
      </c>
      <c r="G51" s="147"/>
    </row>
    <row r="52" spans="2:7" ht="19">
      <c r="B52" s="141" t="s">
        <v>613</v>
      </c>
      <c r="G52" s="147"/>
    </row>
    <row r="53" spans="2:7">
      <c r="G53" s="147"/>
    </row>
    <row r="54" spans="2:7" s="147" customFormat="1"/>
    <row r="55" spans="2:7" s="147" customFormat="1"/>
    <row r="56" spans="2:7" s="147" customFormat="1"/>
    <row r="57" spans="2:7" s="147" customFormat="1"/>
    <row r="58" spans="2:7" s="147" customFormat="1"/>
    <row r="59" spans="2:7" s="147" customFormat="1"/>
    <row r="60" spans="2:7" s="147" customFormat="1"/>
    <row r="61" spans="2:7" s="147" customFormat="1"/>
    <row r="62" spans="2:7" s="147" customFormat="1"/>
    <row r="63" spans="2:7" s="147" customFormat="1"/>
    <row r="64" spans="2:7" s="147" customFormat="1"/>
    <row r="65" s="147" customFormat="1"/>
    <row r="66" s="147" customFormat="1"/>
    <row r="67" s="147" customFormat="1"/>
    <row r="68" s="147" customFormat="1"/>
    <row r="69" s="147" customFormat="1"/>
    <row r="70" s="147" customFormat="1"/>
    <row r="71" s="147" customFormat="1"/>
    <row r="72" s="147" customFormat="1"/>
    <row r="73" s="147" customFormat="1"/>
    <row r="74" s="147" customFormat="1"/>
    <row r="75" s="147" customFormat="1"/>
    <row r="76" s="147" customFormat="1"/>
    <row r="77" s="147" customFormat="1"/>
    <row r="78" s="147" customFormat="1"/>
    <row r="79" s="147" customFormat="1"/>
    <row r="80" s="147" customFormat="1"/>
    <row r="81" s="147" customFormat="1"/>
    <row r="82" s="147" customFormat="1"/>
    <row r="83" s="147" customFormat="1"/>
    <row r="84" s="147" customFormat="1"/>
    <row r="85" s="147" customFormat="1"/>
    <row r="86" s="147" customFormat="1"/>
    <row r="87" s="147" customFormat="1"/>
    <row r="88" s="147" customFormat="1"/>
    <row r="89" s="147" customFormat="1"/>
    <row r="90" s="147" customFormat="1"/>
    <row r="91" s="147" customFormat="1"/>
    <row r="92" s="147" customFormat="1"/>
    <row r="93" s="147" customFormat="1"/>
    <row r="94" s="147" customFormat="1"/>
    <row r="95" s="147" customFormat="1"/>
    <row r="96" s="147" customFormat="1"/>
    <row r="97" s="147" customFormat="1"/>
    <row r="98" s="147" customFormat="1"/>
    <row r="99" s="147" customFormat="1"/>
    <row r="100" s="147" customFormat="1"/>
    <row r="101" s="147" customFormat="1"/>
    <row r="102" s="147" customFormat="1"/>
    <row r="103" s="147" customFormat="1"/>
    <row r="104" s="147" customFormat="1"/>
    <row r="105" s="147" customFormat="1"/>
    <row r="106" s="147" customFormat="1"/>
    <row r="107" s="147" customFormat="1"/>
    <row r="108" s="147" customFormat="1"/>
    <row r="109" s="147" customFormat="1"/>
    <row r="110" s="147" customFormat="1"/>
    <row r="111" s="147" customFormat="1"/>
    <row r="112" s="147" customFormat="1"/>
    <row r="113" s="147" customFormat="1"/>
    <row r="114" s="147" customFormat="1"/>
    <row r="115" s="147" customFormat="1"/>
    <row r="116" s="147" customFormat="1"/>
    <row r="117" s="147" customFormat="1"/>
    <row r="118" s="147" customFormat="1"/>
    <row r="119" s="147" customFormat="1"/>
    <row r="120" s="147" customFormat="1"/>
    <row r="121" s="147" customFormat="1"/>
    <row r="122" s="147" customFormat="1"/>
    <row r="123" s="147" customFormat="1"/>
    <row r="124" s="147" customFormat="1"/>
    <row r="125" s="147" customFormat="1"/>
    <row r="126" s="147" customFormat="1"/>
    <row r="127" s="147" customFormat="1"/>
    <row r="128" s="147" customFormat="1"/>
    <row r="129" s="147" customFormat="1"/>
    <row r="130" s="147" customFormat="1"/>
    <row r="131" s="147" customFormat="1"/>
    <row r="132" s="147" customFormat="1"/>
    <row r="133" s="147" customFormat="1"/>
    <row r="134" s="147" customFormat="1"/>
    <row r="135" s="147" customFormat="1"/>
    <row r="136" s="147" customFormat="1"/>
    <row r="137" s="147" customFormat="1"/>
    <row r="138" s="147" customFormat="1"/>
    <row r="139" s="147" customFormat="1"/>
    <row r="140" s="147" customFormat="1"/>
    <row r="141" s="147" customFormat="1"/>
    <row r="142" s="147" customFormat="1"/>
    <row r="143" s="147" customFormat="1"/>
    <row r="144" s="147" customFormat="1"/>
    <row r="145" s="147" customFormat="1"/>
    <row r="146" s="147" customFormat="1"/>
    <row r="147" s="147" customFormat="1"/>
    <row r="148" s="147" customFormat="1"/>
    <row r="149" s="147" customFormat="1"/>
    <row r="150" s="147" customFormat="1"/>
    <row r="151" s="147" customFormat="1"/>
    <row r="152" s="147" customFormat="1"/>
    <row r="153" s="147" customFormat="1"/>
    <row r="154" s="147" customFormat="1"/>
    <row r="155" s="147" customFormat="1"/>
    <row r="156" s="147" customFormat="1"/>
    <row r="157" s="147" customFormat="1"/>
    <row r="158" s="147" customFormat="1"/>
    <row r="159" s="147" customFormat="1"/>
  </sheetData>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757D6-96A7-9742-B182-826359E5ABD6}">
  <sheetPr codeName="Sheet8"/>
  <dimension ref="A1:AD52"/>
  <sheetViews>
    <sheetView topLeftCell="A17" zoomScaleNormal="100" workbookViewId="0">
      <selection activeCell="E56" sqref="E56"/>
    </sheetView>
  </sheetViews>
  <sheetFormatPr baseColWidth="10" defaultColWidth="10.83203125" defaultRowHeight="24"/>
  <cols>
    <col min="1" max="1" width="3" style="90" customWidth="1"/>
    <col min="2" max="2" width="3.83203125" style="90" customWidth="1"/>
    <col min="3" max="3" width="77.83203125" style="16" customWidth="1"/>
    <col min="4" max="4" width="156.5" style="15" customWidth="1"/>
    <col min="5" max="5" width="80.33203125" style="90" customWidth="1"/>
    <col min="6" max="6" width="10.83203125" style="132"/>
    <col min="7" max="7" width="21" style="132" customWidth="1"/>
    <col min="8" max="21" width="10.83203125" style="132"/>
    <col min="22" max="22" width="10.83203125" style="132" customWidth="1"/>
    <col min="23" max="23" width="10.83203125" style="132"/>
    <col min="24" max="28" width="10.83203125" style="133"/>
    <col min="29" max="30" width="10.83203125" style="132"/>
    <col min="31" max="16384" width="10.83203125" style="90"/>
  </cols>
  <sheetData>
    <row r="1" spans="1:27">
      <c r="A1" s="15"/>
      <c r="B1" s="60"/>
      <c r="E1" s="73"/>
    </row>
    <row r="2" spans="1:27">
      <c r="A2" s="60"/>
      <c r="B2" s="15"/>
      <c r="E2" s="73"/>
    </row>
    <row r="3" spans="1:27">
      <c r="A3" s="60"/>
      <c r="B3" s="75"/>
      <c r="C3" s="15" t="s">
        <v>234</v>
      </c>
      <c r="E3" s="76"/>
      <c r="G3" s="132" t="s">
        <v>235</v>
      </c>
    </row>
    <row r="4" spans="1:27">
      <c r="A4" s="60"/>
      <c r="B4" s="17"/>
      <c r="E4" s="15"/>
      <c r="F4" s="132" t="s">
        <v>295</v>
      </c>
      <c r="X4" s="133" t="s">
        <v>296</v>
      </c>
      <c r="Y4" s="133" t="s">
        <v>297</v>
      </c>
    </row>
    <row r="5" spans="1:27">
      <c r="A5" s="60">
        <v>1</v>
      </c>
      <c r="B5" s="79"/>
      <c r="C5" s="16" t="s">
        <v>299</v>
      </c>
      <c r="D5" s="15" t="s">
        <v>236</v>
      </c>
      <c r="E5" s="104"/>
      <c r="F5" s="132">
        <v>10</v>
      </c>
      <c r="G5" s="132" t="s">
        <v>237</v>
      </c>
      <c r="H5" s="132" t="s">
        <v>9</v>
      </c>
      <c r="V5" s="132" t="e">
        <f>HLOOKUP(E5,G5:H6,2,FALSE)</f>
        <v>#N/A</v>
      </c>
      <c r="W5" s="132" t="e">
        <f t="shared" ref="W5:W46" si="0">SUMPRODUCT(F5,V5)</f>
        <v>#N/A</v>
      </c>
      <c r="X5" s="133" t="e">
        <f>SUM(W5:W19)</f>
        <v>#N/A</v>
      </c>
      <c r="Y5" s="133">
        <v>225</v>
      </c>
      <c r="AA5" s="133">
        <v>195</v>
      </c>
    </row>
    <row r="6" spans="1:27">
      <c r="A6" s="67"/>
      <c r="B6" s="79"/>
      <c r="E6" s="80"/>
      <c r="G6" s="132">
        <v>5</v>
      </c>
      <c r="H6" s="132">
        <v>0</v>
      </c>
    </row>
    <row r="7" spans="1:27">
      <c r="A7" s="60"/>
      <c r="B7" s="17"/>
      <c r="D7" s="15" t="s">
        <v>238</v>
      </c>
      <c r="E7" s="104"/>
      <c r="F7" s="132">
        <v>5</v>
      </c>
      <c r="G7" s="132" t="s">
        <v>239</v>
      </c>
      <c r="H7" s="132" t="s">
        <v>240</v>
      </c>
      <c r="I7" s="132" t="s">
        <v>241</v>
      </c>
      <c r="J7" s="132" t="s">
        <v>242</v>
      </c>
      <c r="V7" s="132" t="e">
        <f>HLOOKUP(E7,G7:J8,2,FALSE)</f>
        <v>#N/A</v>
      </c>
      <c r="W7" s="132" t="e">
        <f t="shared" si="0"/>
        <v>#N/A</v>
      </c>
    </row>
    <row r="8" spans="1:27">
      <c r="A8" s="60"/>
      <c r="B8" s="17"/>
      <c r="E8" s="15"/>
      <c r="G8" s="132">
        <v>5</v>
      </c>
      <c r="H8" s="132">
        <v>3</v>
      </c>
      <c r="I8" s="132">
        <v>1</v>
      </c>
      <c r="J8" s="132">
        <v>4</v>
      </c>
    </row>
    <row r="9" spans="1:27">
      <c r="A9" s="67"/>
      <c r="B9" s="79"/>
      <c r="D9" s="15" t="s">
        <v>243</v>
      </c>
      <c r="E9" s="104"/>
      <c r="F9" s="132">
        <v>5</v>
      </c>
      <c r="G9" s="132" t="s">
        <v>237</v>
      </c>
      <c r="H9" s="132" t="s">
        <v>9</v>
      </c>
      <c r="V9" s="132" t="e">
        <f>HLOOKUP(E9,G9:H10,2,FALSE)</f>
        <v>#N/A</v>
      </c>
      <c r="W9" s="132" t="e">
        <f t="shared" si="0"/>
        <v>#N/A</v>
      </c>
    </row>
    <row r="10" spans="1:27">
      <c r="A10" s="67"/>
      <c r="B10" s="79"/>
      <c r="E10" s="80"/>
      <c r="G10" s="132">
        <v>5</v>
      </c>
      <c r="H10" s="132">
        <v>1</v>
      </c>
    </row>
    <row r="11" spans="1:27">
      <c r="A11" s="60"/>
      <c r="B11" s="17"/>
      <c r="D11" s="15" t="s">
        <v>244</v>
      </c>
      <c r="E11" s="104"/>
      <c r="F11" s="132">
        <v>5</v>
      </c>
      <c r="G11" s="132" t="s">
        <v>237</v>
      </c>
      <c r="H11" s="132" t="s">
        <v>9</v>
      </c>
      <c r="V11" s="132" t="e">
        <f>HLOOKUP(E11,G11:H12,2,FALSE)</f>
        <v>#N/A</v>
      </c>
      <c r="W11" s="132" t="e">
        <f t="shared" si="0"/>
        <v>#N/A</v>
      </c>
    </row>
    <row r="12" spans="1:27">
      <c r="A12" s="60"/>
      <c r="B12" s="17"/>
      <c r="E12" s="15"/>
      <c r="G12" s="132">
        <v>5</v>
      </c>
      <c r="H12" s="132">
        <v>0</v>
      </c>
    </row>
    <row r="13" spans="1:27">
      <c r="A13" s="67"/>
      <c r="B13" s="79"/>
      <c r="D13" s="15" t="s">
        <v>245</v>
      </c>
      <c r="E13" s="104"/>
      <c r="F13" s="132">
        <v>5</v>
      </c>
      <c r="G13" s="132" t="s">
        <v>246</v>
      </c>
      <c r="H13" s="132" t="s">
        <v>247</v>
      </c>
      <c r="I13" s="132" t="s">
        <v>248</v>
      </c>
      <c r="J13" s="132" t="s">
        <v>249</v>
      </c>
      <c r="K13" s="132" t="s">
        <v>250</v>
      </c>
      <c r="L13" s="132" t="s">
        <v>293</v>
      </c>
      <c r="V13" s="132" t="e">
        <f>HLOOKUP(E13,G13:L14,2,FALSE)</f>
        <v>#N/A</v>
      </c>
      <c r="W13" s="132" t="e">
        <f t="shared" si="0"/>
        <v>#N/A</v>
      </c>
    </row>
    <row r="14" spans="1:27">
      <c r="A14" s="67"/>
      <c r="B14" s="79"/>
      <c r="E14" s="80"/>
      <c r="G14" s="132">
        <v>5</v>
      </c>
      <c r="H14" s="132">
        <v>5</v>
      </c>
      <c r="I14" s="132">
        <v>5</v>
      </c>
      <c r="J14" s="132">
        <v>5</v>
      </c>
      <c r="K14" s="132">
        <v>5</v>
      </c>
      <c r="L14" s="132">
        <v>0</v>
      </c>
    </row>
    <row r="15" spans="1:27">
      <c r="A15" s="60"/>
      <c r="B15" s="17"/>
      <c r="D15" s="15" t="s">
        <v>251</v>
      </c>
      <c r="E15" s="104"/>
      <c r="F15" s="132">
        <v>5</v>
      </c>
      <c r="G15" s="132" t="s">
        <v>237</v>
      </c>
      <c r="H15" s="132" t="s">
        <v>9</v>
      </c>
      <c r="V15" s="132" t="e">
        <f>HLOOKUP(E15,G15:H16,2,FALSE)</f>
        <v>#N/A</v>
      </c>
      <c r="W15" s="132" t="e">
        <f t="shared" si="0"/>
        <v>#N/A</v>
      </c>
    </row>
    <row r="16" spans="1:27">
      <c r="A16" s="60"/>
      <c r="B16" s="17"/>
      <c r="E16" s="15"/>
      <c r="G16" s="132">
        <v>5</v>
      </c>
      <c r="H16" s="132">
        <v>0</v>
      </c>
    </row>
    <row r="17" spans="1:27">
      <c r="A17" s="67"/>
      <c r="B17" s="79"/>
      <c r="D17" s="15" t="s">
        <v>252</v>
      </c>
      <c r="E17" s="104"/>
      <c r="F17" s="132">
        <v>5</v>
      </c>
      <c r="G17" s="132" t="s">
        <v>237</v>
      </c>
      <c r="H17" s="132" t="s">
        <v>9</v>
      </c>
      <c r="V17" s="132" t="e">
        <f>HLOOKUP(E17,G17:H18,2,FALSE)</f>
        <v>#N/A</v>
      </c>
      <c r="W17" s="132" t="e">
        <f t="shared" si="0"/>
        <v>#N/A</v>
      </c>
    </row>
    <row r="18" spans="1:27">
      <c r="A18" s="67"/>
      <c r="B18" s="79"/>
      <c r="E18" s="80"/>
      <c r="G18" s="132">
        <v>5</v>
      </c>
      <c r="H18" s="132">
        <v>0</v>
      </c>
    </row>
    <row r="19" spans="1:27">
      <c r="A19" s="60"/>
      <c r="B19" s="17"/>
      <c r="D19" s="15" t="s">
        <v>253</v>
      </c>
      <c r="E19" s="104"/>
      <c r="F19" s="132">
        <v>5</v>
      </c>
      <c r="G19" s="132" t="s">
        <v>237</v>
      </c>
      <c r="H19" s="132" t="s">
        <v>9</v>
      </c>
      <c r="V19" s="132" t="e">
        <f>HLOOKUP(E19,G19:H20,2,FALSE)</f>
        <v>#N/A</v>
      </c>
      <c r="W19" s="132" t="e">
        <f t="shared" si="0"/>
        <v>#N/A</v>
      </c>
    </row>
    <row r="20" spans="1:27">
      <c r="A20" s="60">
        <v>2</v>
      </c>
      <c r="B20" s="17"/>
      <c r="C20" s="16" t="s">
        <v>254</v>
      </c>
      <c r="E20" s="15"/>
      <c r="G20" s="132">
        <v>5</v>
      </c>
      <c r="H20" s="132">
        <v>0</v>
      </c>
      <c r="X20" s="133" t="e">
        <f>SUM(W21:W29)</f>
        <v>#N/A</v>
      </c>
      <c r="Y20" s="133">
        <v>105</v>
      </c>
      <c r="AA20" s="133">
        <v>75</v>
      </c>
    </row>
    <row r="21" spans="1:27">
      <c r="A21" s="67"/>
      <c r="B21" s="79"/>
      <c r="D21" s="15" t="s">
        <v>255</v>
      </c>
      <c r="E21" s="104"/>
      <c r="F21" s="132">
        <v>5</v>
      </c>
      <c r="G21" s="132" t="s">
        <v>256</v>
      </c>
      <c r="H21" s="132" t="s">
        <v>257</v>
      </c>
      <c r="I21" s="132" t="s">
        <v>258</v>
      </c>
      <c r="J21" s="132" t="s">
        <v>259</v>
      </c>
      <c r="K21" s="132" t="s">
        <v>260</v>
      </c>
      <c r="L21" s="132" t="s">
        <v>261</v>
      </c>
      <c r="M21" s="132" t="s">
        <v>262</v>
      </c>
      <c r="N21" s="132" t="s">
        <v>263</v>
      </c>
      <c r="O21" s="132" t="s">
        <v>264</v>
      </c>
      <c r="P21" s="132" t="s">
        <v>265</v>
      </c>
      <c r="Q21" s="132" t="s">
        <v>266</v>
      </c>
      <c r="R21" s="132" t="s">
        <v>267</v>
      </c>
      <c r="S21" s="132" t="s">
        <v>268</v>
      </c>
      <c r="T21" s="132" t="s">
        <v>269</v>
      </c>
      <c r="U21" s="132" t="s">
        <v>293</v>
      </c>
      <c r="V21" s="132" t="e">
        <f>HLOOKUP(E21,G21:U22,2,FALSE)</f>
        <v>#N/A</v>
      </c>
      <c r="W21" s="132" t="e">
        <f t="shared" si="0"/>
        <v>#N/A</v>
      </c>
    </row>
    <row r="22" spans="1:27">
      <c r="A22" s="15"/>
      <c r="B22" s="60"/>
      <c r="E22" s="73"/>
      <c r="G22" s="132">
        <v>4</v>
      </c>
      <c r="H22" s="132">
        <v>4</v>
      </c>
      <c r="I22" s="132">
        <v>5</v>
      </c>
      <c r="J22" s="132">
        <v>5</v>
      </c>
      <c r="K22" s="132">
        <v>5</v>
      </c>
      <c r="L22" s="132">
        <v>3</v>
      </c>
      <c r="M22" s="132">
        <v>3</v>
      </c>
      <c r="N22" s="132">
        <v>2</v>
      </c>
      <c r="O22" s="132">
        <v>2</v>
      </c>
      <c r="P22" s="132">
        <v>3</v>
      </c>
      <c r="Q22" s="132">
        <v>3</v>
      </c>
      <c r="R22" s="132">
        <v>5</v>
      </c>
      <c r="S22" s="132">
        <v>5</v>
      </c>
      <c r="T22" s="132">
        <v>5</v>
      </c>
      <c r="U22" s="132">
        <v>0</v>
      </c>
    </row>
    <row r="23" spans="1:27">
      <c r="A23" s="60"/>
      <c r="B23" s="15"/>
      <c r="D23" s="15" t="s">
        <v>270</v>
      </c>
      <c r="E23" s="104"/>
      <c r="F23" s="132">
        <v>5</v>
      </c>
      <c r="G23" s="132" t="s">
        <v>271</v>
      </c>
      <c r="H23" s="132" t="s">
        <v>272</v>
      </c>
      <c r="I23" s="132" t="s">
        <v>273</v>
      </c>
      <c r="J23" s="132" t="s">
        <v>293</v>
      </c>
      <c r="V23" s="132" t="e">
        <f>HLOOKUP(E23,G23:J24,2,FALSE)</f>
        <v>#N/A</v>
      </c>
      <c r="W23" s="132" t="e">
        <f t="shared" si="0"/>
        <v>#N/A</v>
      </c>
    </row>
    <row r="24" spans="1:27">
      <c r="A24" s="60"/>
      <c r="B24" s="75"/>
      <c r="E24" s="76"/>
      <c r="G24" s="132">
        <v>5</v>
      </c>
      <c r="H24" s="132">
        <v>5</v>
      </c>
      <c r="I24" s="132">
        <v>5</v>
      </c>
      <c r="J24" s="132">
        <v>0</v>
      </c>
    </row>
    <row r="25" spans="1:27">
      <c r="A25" s="60"/>
      <c r="B25" s="17"/>
      <c r="D25" s="15" t="s">
        <v>274</v>
      </c>
      <c r="E25" s="104"/>
      <c r="F25" s="132">
        <v>3</v>
      </c>
      <c r="G25" s="132" t="s">
        <v>7</v>
      </c>
      <c r="H25" s="132" t="s">
        <v>9</v>
      </c>
      <c r="V25" s="132" t="e">
        <f>HLOOKUP(E25,G25:H26,2,FALSE)</f>
        <v>#N/A</v>
      </c>
      <c r="W25" s="132" t="e">
        <f t="shared" si="0"/>
        <v>#N/A</v>
      </c>
    </row>
    <row r="26" spans="1:27">
      <c r="A26" s="67"/>
      <c r="B26" s="79"/>
      <c r="E26" s="80"/>
      <c r="G26" s="132">
        <v>5</v>
      </c>
      <c r="H26" s="132">
        <v>0</v>
      </c>
    </row>
    <row r="27" spans="1:27">
      <c r="A27" s="67"/>
      <c r="B27" s="79"/>
      <c r="D27" s="15" t="s">
        <v>275</v>
      </c>
      <c r="E27" s="104"/>
      <c r="F27" s="132">
        <v>5</v>
      </c>
      <c r="G27" s="132" t="s">
        <v>271</v>
      </c>
      <c r="H27" s="132" t="s">
        <v>272</v>
      </c>
      <c r="I27" s="132" t="s">
        <v>273</v>
      </c>
      <c r="J27" s="132" t="s">
        <v>293</v>
      </c>
      <c r="V27" s="132" t="e">
        <f>HLOOKUP(E27,G27:J28,2,FALSE)</f>
        <v>#N/A</v>
      </c>
      <c r="W27" s="132" t="e">
        <f t="shared" si="0"/>
        <v>#N/A</v>
      </c>
    </row>
    <row r="28" spans="1:27">
      <c r="A28" s="60"/>
      <c r="B28" s="17"/>
      <c r="E28" s="15"/>
      <c r="G28" s="132">
        <v>5</v>
      </c>
      <c r="H28" s="132">
        <v>5</v>
      </c>
      <c r="I28" s="132">
        <v>5</v>
      </c>
      <c r="J28" s="132">
        <v>0</v>
      </c>
    </row>
    <row r="29" spans="1:27">
      <c r="A29" s="60"/>
      <c r="B29" s="17"/>
      <c r="D29" s="15" t="s">
        <v>276</v>
      </c>
      <c r="E29" s="104"/>
      <c r="F29" s="132">
        <v>3</v>
      </c>
      <c r="G29" s="132" t="s">
        <v>271</v>
      </c>
      <c r="H29" s="132" t="s">
        <v>272</v>
      </c>
      <c r="I29" s="132" t="s">
        <v>293</v>
      </c>
      <c r="V29" s="132" t="e">
        <f>HLOOKUP(E29,G29:I30,2)</f>
        <v>#N/A</v>
      </c>
      <c r="W29" s="132" t="e">
        <f t="shared" si="0"/>
        <v>#N/A</v>
      </c>
    </row>
    <row r="30" spans="1:27">
      <c r="A30" s="67"/>
      <c r="B30" s="79"/>
      <c r="E30" s="80"/>
      <c r="G30" s="132">
        <v>5</v>
      </c>
      <c r="H30" s="132">
        <v>5</v>
      </c>
      <c r="I30" s="132">
        <v>0</v>
      </c>
    </row>
    <row r="31" spans="1:27">
      <c r="A31" s="67">
        <v>3</v>
      </c>
      <c r="B31" s="79"/>
      <c r="C31" s="16" t="s">
        <v>277</v>
      </c>
      <c r="D31" s="15" t="s">
        <v>278</v>
      </c>
      <c r="E31" s="104"/>
      <c r="F31" s="132">
        <v>3</v>
      </c>
      <c r="G31" s="132" t="s">
        <v>237</v>
      </c>
      <c r="H31" s="132" t="s">
        <v>9</v>
      </c>
      <c r="V31" s="132" t="e">
        <f>HLOOKUP(E31,G31:H32,2,FALSE)</f>
        <v>#N/A</v>
      </c>
      <c r="W31" s="132" t="e">
        <f t="shared" si="0"/>
        <v>#N/A</v>
      </c>
      <c r="X31" s="133" t="e">
        <f>W31</f>
        <v>#N/A</v>
      </c>
      <c r="Y31" s="133">
        <v>15</v>
      </c>
      <c r="AA31" s="133">
        <v>10</v>
      </c>
    </row>
    <row r="32" spans="1:27">
      <c r="A32" s="60"/>
      <c r="B32" s="17"/>
      <c r="E32" s="15"/>
      <c r="G32" s="132">
        <v>5</v>
      </c>
      <c r="H32" s="132">
        <v>0</v>
      </c>
    </row>
    <row r="33" spans="1:27">
      <c r="A33" s="60">
        <v>4</v>
      </c>
      <c r="B33" s="17"/>
      <c r="C33" s="16" t="s">
        <v>279</v>
      </c>
      <c r="D33" s="15" t="s">
        <v>280</v>
      </c>
      <c r="E33" s="104"/>
      <c r="F33" s="132">
        <v>3</v>
      </c>
      <c r="G33" s="132" t="s">
        <v>237</v>
      </c>
      <c r="H33" s="132" t="s">
        <v>9</v>
      </c>
      <c r="V33" s="132" t="e">
        <f>HLOOKUP(E33,G33:H34,2,FALSE)</f>
        <v>#N/A</v>
      </c>
      <c r="W33" s="132" t="e">
        <f t="shared" si="0"/>
        <v>#N/A</v>
      </c>
      <c r="X33" s="133" t="e">
        <f>W33</f>
        <v>#N/A</v>
      </c>
      <c r="Y33" s="133">
        <v>15</v>
      </c>
      <c r="AA33" s="133">
        <v>10</v>
      </c>
    </row>
    <row r="34" spans="1:27">
      <c r="A34" s="67"/>
      <c r="B34" s="79"/>
      <c r="E34" s="80"/>
      <c r="G34" s="132">
        <v>5</v>
      </c>
      <c r="H34" s="132">
        <v>0</v>
      </c>
    </row>
    <row r="35" spans="1:27">
      <c r="A35" s="67">
        <v>5</v>
      </c>
      <c r="B35" s="79"/>
      <c r="C35" s="16" t="s">
        <v>281</v>
      </c>
      <c r="E35" s="80"/>
      <c r="X35" s="133" t="e">
        <f>SUM(W36:W38)</f>
        <v>#N/A</v>
      </c>
      <c r="Y35" s="133">
        <v>20</v>
      </c>
      <c r="AA35" s="133">
        <v>15</v>
      </c>
    </row>
    <row r="36" spans="1:27">
      <c r="A36" s="60"/>
      <c r="B36" s="17"/>
      <c r="D36" s="15" t="s">
        <v>282</v>
      </c>
      <c r="E36" s="104"/>
      <c r="F36" s="132">
        <v>2</v>
      </c>
      <c r="G36" s="132" t="s">
        <v>237</v>
      </c>
      <c r="H36" s="132" t="s">
        <v>9</v>
      </c>
      <c r="V36" s="132" t="e">
        <f>HLOOKUP(E36,G36:H37,2,FALSE)</f>
        <v>#N/A</v>
      </c>
      <c r="W36" s="132" t="e">
        <f t="shared" si="0"/>
        <v>#N/A</v>
      </c>
    </row>
    <row r="37" spans="1:27">
      <c r="A37" s="60"/>
      <c r="B37" s="17"/>
      <c r="E37" s="15"/>
      <c r="G37" s="132">
        <v>5</v>
      </c>
      <c r="H37" s="132">
        <v>0</v>
      </c>
    </row>
    <row r="38" spans="1:27">
      <c r="A38" s="67"/>
      <c r="B38" s="79"/>
      <c r="D38" s="15" t="s">
        <v>283</v>
      </c>
      <c r="E38" s="104"/>
      <c r="F38" s="132">
        <v>2</v>
      </c>
      <c r="G38" s="132" t="s">
        <v>237</v>
      </c>
      <c r="H38" s="132" t="s">
        <v>9</v>
      </c>
      <c r="V38" s="132" t="e">
        <f>HLOOKUP(E38,G38:H39,2,FALSE)</f>
        <v>#N/A</v>
      </c>
      <c r="W38" s="132" t="e">
        <f t="shared" si="0"/>
        <v>#N/A</v>
      </c>
    </row>
    <row r="39" spans="1:27">
      <c r="A39" s="67"/>
      <c r="B39" s="79"/>
      <c r="E39" s="80"/>
      <c r="G39" s="132">
        <v>5</v>
      </c>
      <c r="H39" s="132">
        <v>0</v>
      </c>
    </row>
    <row r="40" spans="1:27">
      <c r="A40" s="60">
        <v>6</v>
      </c>
      <c r="B40" s="17"/>
      <c r="C40" s="16" t="s">
        <v>284</v>
      </c>
      <c r="D40" s="15" t="s">
        <v>285</v>
      </c>
      <c r="E40" s="104"/>
      <c r="F40" s="132">
        <v>4</v>
      </c>
      <c r="G40" s="132" t="s">
        <v>237</v>
      </c>
      <c r="H40" s="132" t="s">
        <v>9</v>
      </c>
      <c r="V40" s="132" t="e">
        <f>HLOOKUP(E40,G40:H41,2,FALSE)</f>
        <v>#N/A</v>
      </c>
      <c r="W40" s="132" t="e">
        <f t="shared" si="0"/>
        <v>#N/A</v>
      </c>
      <c r="X40" s="133" t="e">
        <f>W40</f>
        <v>#N/A</v>
      </c>
      <c r="Y40" s="133">
        <v>25</v>
      </c>
      <c r="AA40" s="133">
        <v>15</v>
      </c>
    </row>
    <row r="41" spans="1:27">
      <c r="A41" s="60"/>
      <c r="B41" s="17"/>
      <c r="E41" s="2"/>
      <c r="G41" s="132">
        <v>5</v>
      </c>
      <c r="H41" s="132">
        <v>0</v>
      </c>
    </row>
    <row r="42" spans="1:27">
      <c r="A42" s="67">
        <v>7</v>
      </c>
      <c r="B42" s="79"/>
      <c r="C42" s="16" t="s">
        <v>318</v>
      </c>
      <c r="D42" s="15" t="s">
        <v>286</v>
      </c>
      <c r="E42" s="104"/>
      <c r="F42" s="132">
        <v>5</v>
      </c>
      <c r="G42" s="132" t="s">
        <v>237</v>
      </c>
      <c r="H42" s="132" t="s">
        <v>9</v>
      </c>
      <c r="V42" s="132" t="e">
        <f>HLOOKUP(E42,G42:H43,2,FALSE)</f>
        <v>#N/A</v>
      </c>
      <c r="W42" s="132" t="e">
        <f t="shared" si="0"/>
        <v>#N/A</v>
      </c>
      <c r="X42" s="133" t="e">
        <f>W42</f>
        <v>#N/A</v>
      </c>
      <c r="Y42" s="133">
        <v>25</v>
      </c>
      <c r="AA42" s="133">
        <v>15</v>
      </c>
    </row>
    <row r="43" spans="1:27">
      <c r="A43" s="15"/>
      <c r="B43" s="60"/>
      <c r="E43" s="73"/>
      <c r="G43" s="132">
        <v>5</v>
      </c>
      <c r="H43" s="132">
        <v>0</v>
      </c>
    </row>
    <row r="44" spans="1:27">
      <c r="A44" s="60">
        <v>8</v>
      </c>
      <c r="B44" s="15"/>
      <c r="C44" s="16" t="s">
        <v>287</v>
      </c>
      <c r="D44" s="15" t="s">
        <v>288</v>
      </c>
      <c r="E44" s="104"/>
      <c r="F44" s="132">
        <v>5</v>
      </c>
      <c r="G44" s="132" t="s">
        <v>237</v>
      </c>
      <c r="H44" s="132" t="s">
        <v>9</v>
      </c>
      <c r="V44" s="132" t="e">
        <f>HLOOKUP(E44,G44:H45,2,FALSE)</f>
        <v>#N/A</v>
      </c>
      <c r="W44" s="132" t="e">
        <f t="shared" si="0"/>
        <v>#N/A</v>
      </c>
      <c r="X44" s="133" t="e">
        <f>W44</f>
        <v>#N/A</v>
      </c>
      <c r="Y44" s="133">
        <v>25</v>
      </c>
      <c r="AA44" s="133">
        <v>15</v>
      </c>
    </row>
    <row r="45" spans="1:27">
      <c r="A45" s="60"/>
      <c r="B45" s="75"/>
      <c r="E45" s="76"/>
      <c r="G45" s="132">
        <v>5</v>
      </c>
      <c r="H45" s="132">
        <v>0</v>
      </c>
    </row>
    <row r="46" spans="1:27">
      <c r="A46" s="60">
        <v>9</v>
      </c>
      <c r="B46" s="17"/>
      <c r="C46" s="16" t="s">
        <v>289</v>
      </c>
      <c r="D46" s="15" t="s">
        <v>290</v>
      </c>
      <c r="E46" s="104"/>
      <c r="F46" s="132">
        <v>5</v>
      </c>
      <c r="G46" s="132" t="s">
        <v>237</v>
      </c>
      <c r="H46" s="132" t="s">
        <v>9</v>
      </c>
      <c r="V46" s="132" t="e">
        <f>HLOOKUP(E46,G46:H47,2,FALSE)</f>
        <v>#N/A</v>
      </c>
      <c r="W46" s="132" t="e">
        <f t="shared" si="0"/>
        <v>#N/A</v>
      </c>
      <c r="X46" s="133" t="e">
        <f>W46</f>
        <v>#N/A</v>
      </c>
      <c r="Y46" s="133">
        <v>25</v>
      </c>
      <c r="AA46" s="133">
        <v>15</v>
      </c>
    </row>
    <row r="47" spans="1:27">
      <c r="A47" s="67"/>
      <c r="B47" s="79"/>
      <c r="E47" s="80"/>
      <c r="G47" s="132">
        <v>5</v>
      </c>
      <c r="H47" s="132">
        <v>0</v>
      </c>
    </row>
    <row r="48" spans="1:27">
      <c r="A48" s="67">
        <v>10</v>
      </c>
      <c r="B48" s="79"/>
      <c r="C48" s="16" t="s">
        <v>291</v>
      </c>
      <c r="D48" s="15" t="s">
        <v>292</v>
      </c>
      <c r="E48" s="104"/>
      <c r="F48" s="132">
        <v>5</v>
      </c>
      <c r="G48" s="132" t="s">
        <v>237</v>
      </c>
      <c r="H48" s="132" t="s">
        <v>9</v>
      </c>
      <c r="V48" s="132" t="e">
        <f>HLOOKUP(E48,G48:H49,2,FALSE)</f>
        <v>#N/A</v>
      </c>
      <c r="W48" s="132" t="e">
        <f>SUMPRODUCT(F48,V48)</f>
        <v>#N/A</v>
      </c>
      <c r="X48" s="133" t="e">
        <f>W48</f>
        <v>#N/A</v>
      </c>
      <c r="Y48" s="133">
        <v>25</v>
      </c>
      <c r="AA48" s="133">
        <v>15</v>
      </c>
    </row>
    <row r="49" spans="1:25">
      <c r="A49" s="60"/>
      <c r="B49" s="17"/>
      <c r="E49" s="15"/>
      <c r="G49" s="132">
        <v>5</v>
      </c>
      <c r="H49" s="132">
        <v>0</v>
      </c>
      <c r="Y49" s="133">
        <f>SUM(Y5:Y48)</f>
        <v>505</v>
      </c>
    </row>
    <row r="50" spans="1:25">
      <c r="A50" s="60"/>
      <c r="B50" s="17"/>
      <c r="E50" s="15"/>
      <c r="F50" s="132">
        <f>SUM(F5:F48)</f>
        <v>100</v>
      </c>
      <c r="V50" s="132" t="e">
        <f>SUM(V5:V48)</f>
        <v>#N/A</v>
      </c>
      <c r="W50" s="132" t="e">
        <f>SUMPRODUCT(F5:F48,V5:V48)</f>
        <v>#N/A</v>
      </c>
      <c r="X50" s="133">
        <v>250</v>
      </c>
    </row>
    <row r="51" spans="1:25">
      <c r="A51" s="67"/>
      <c r="B51" s="79"/>
      <c r="E51" s="80"/>
    </row>
    <row r="52" spans="1:25">
      <c r="A52" s="67"/>
      <c r="B52" s="79"/>
      <c r="E52" s="80"/>
    </row>
  </sheetData>
  <conditionalFormatting sqref="D7:E19">
    <cfRule type="expression" dxfId="17" priority="14" stopIfTrue="1">
      <formula>$E$5="No"</formula>
    </cfRule>
  </conditionalFormatting>
  <conditionalFormatting sqref="E5">
    <cfRule type="expression" dxfId="16" priority="20" stopIfTrue="1">
      <formula>$E$5="No"</formula>
    </cfRule>
  </conditionalFormatting>
  <conditionalFormatting sqref="E21">
    <cfRule type="expression" dxfId="15" priority="13" stopIfTrue="1">
      <formula>$E$5="No"</formula>
    </cfRule>
  </conditionalFormatting>
  <conditionalFormatting sqref="E23">
    <cfRule type="expression" dxfId="14" priority="12" stopIfTrue="1">
      <formula>$E$5="No"</formula>
    </cfRule>
  </conditionalFormatting>
  <conditionalFormatting sqref="E25">
    <cfRule type="expression" dxfId="13" priority="11" stopIfTrue="1">
      <formula>$E$5="No"</formula>
    </cfRule>
  </conditionalFormatting>
  <conditionalFormatting sqref="E27">
    <cfRule type="expression" dxfId="12" priority="10" stopIfTrue="1">
      <formula>$E$5="No"</formula>
    </cfRule>
  </conditionalFormatting>
  <conditionalFormatting sqref="E29">
    <cfRule type="expression" dxfId="11" priority="9" stopIfTrue="1">
      <formula>$E$5="No"</formula>
    </cfRule>
  </conditionalFormatting>
  <conditionalFormatting sqref="E31">
    <cfRule type="expression" dxfId="10" priority="8" stopIfTrue="1">
      <formula>$E$5="No"</formula>
    </cfRule>
  </conditionalFormatting>
  <conditionalFormatting sqref="E33">
    <cfRule type="expression" dxfId="9" priority="7" stopIfTrue="1">
      <formula>$E$5="No"</formula>
    </cfRule>
  </conditionalFormatting>
  <conditionalFormatting sqref="E36">
    <cfRule type="expression" dxfId="8" priority="6" stopIfTrue="1">
      <formula>$E$5="No"</formula>
    </cfRule>
  </conditionalFormatting>
  <conditionalFormatting sqref="E38">
    <cfRule type="expression" dxfId="7" priority="5" stopIfTrue="1">
      <formula>$E$5="No"</formula>
    </cfRule>
  </conditionalFormatting>
  <conditionalFormatting sqref="E40:E42">
    <cfRule type="expression" dxfId="6" priority="4" stopIfTrue="1">
      <formula>$E$5="No"</formula>
    </cfRule>
  </conditionalFormatting>
  <conditionalFormatting sqref="E44">
    <cfRule type="expression" dxfId="5" priority="3" stopIfTrue="1">
      <formula>$E$5="No"</formula>
    </cfRule>
  </conditionalFormatting>
  <conditionalFormatting sqref="E46">
    <cfRule type="expression" dxfId="4" priority="2" stopIfTrue="1">
      <formula>$E$5="No"</formula>
    </cfRule>
  </conditionalFormatting>
  <conditionalFormatting sqref="E48">
    <cfRule type="expression" dxfId="3" priority="1" stopIfTrue="1">
      <formula>$E$5="No"</formula>
    </cfRule>
  </conditionalFormatting>
  <dataValidations count="22">
    <dataValidation type="list" allowBlank="1" showInputMessage="1" showErrorMessage="1" sqref="E5" xr:uid="{8D34DB5C-46D3-F54E-89B7-9744813C1E68}">
      <formula1>$G$5:$H$5</formula1>
    </dataValidation>
    <dataValidation type="list" allowBlank="1" showInputMessage="1" showErrorMessage="1" sqref="E7" xr:uid="{5764C88B-FC2A-8E43-A1CB-41CA5CE63A40}">
      <formula1>$G$7:$K$7</formula1>
    </dataValidation>
    <dataValidation type="list" allowBlank="1" showInputMessage="1" showErrorMessage="1" sqref="E9" xr:uid="{61B7E904-2D74-0F43-AF2E-BA3F5A4262FF}">
      <formula1>$G$9:$H$9</formula1>
    </dataValidation>
    <dataValidation type="list" allowBlank="1" showInputMessage="1" showErrorMessage="1" sqref="E11" xr:uid="{97409763-4744-E94A-9397-2EC1499915B6}">
      <formula1>$G$11:$H$11</formula1>
    </dataValidation>
    <dataValidation type="list" allowBlank="1" showInputMessage="1" showErrorMessage="1" sqref="E13" xr:uid="{B8E4B436-00D8-7D43-A55E-2ED64E8253F8}">
      <formula1>$G$13:$L$13</formula1>
    </dataValidation>
    <dataValidation type="list" allowBlank="1" showInputMessage="1" showErrorMessage="1" sqref="E15" xr:uid="{FDC13005-9D22-454F-9B21-72AAAD774C1E}">
      <formula1>$G$15:$H$15</formula1>
    </dataValidation>
    <dataValidation type="list" allowBlank="1" showInputMessage="1" showErrorMessage="1" sqref="E17" xr:uid="{2E5348AE-A79B-7842-97EE-84003826128A}">
      <formula1>$G$17:$H$17</formula1>
    </dataValidation>
    <dataValidation type="list" allowBlank="1" showInputMessage="1" showErrorMessage="1" sqref="E19" xr:uid="{E768710A-FACB-1A4A-A7FE-62B7E85602A3}">
      <formula1>$G$19:$H$19</formula1>
    </dataValidation>
    <dataValidation type="list" allowBlank="1" showInputMessage="1" showErrorMessage="1" sqref="E21" xr:uid="{5676DA76-277D-4644-B9DD-DCF73C7CCBA0}">
      <formula1>$G$21:$U$21</formula1>
    </dataValidation>
    <dataValidation type="list" allowBlank="1" showInputMessage="1" showErrorMessage="1" sqref="E23" xr:uid="{3B63E05F-2237-504A-B709-5A2279A3368B}">
      <formula1>$G$23:$J$23</formula1>
    </dataValidation>
    <dataValidation type="list" allowBlank="1" showInputMessage="1" showErrorMessage="1" sqref="E25" xr:uid="{28D18F5D-3C11-EB4B-9D7F-9B9C9EFC7EF9}">
      <formula1>$G$25:$H$25</formula1>
    </dataValidation>
    <dataValidation type="list" allowBlank="1" showInputMessage="1" showErrorMessage="1" sqref="E27" xr:uid="{8F38D6E9-6796-E84E-A818-61E984783340}">
      <formula1>$G$27:$J$27</formula1>
    </dataValidation>
    <dataValidation type="list" allowBlank="1" showInputMessage="1" showErrorMessage="1" sqref="E29" xr:uid="{28232B45-70D5-8B46-99B9-09DD25AE99E9}">
      <formula1>$G$29:$I$29</formula1>
    </dataValidation>
    <dataValidation type="list" allowBlank="1" showInputMessage="1" showErrorMessage="1" sqref="E31" xr:uid="{B9840B56-1F67-344D-BAC2-3C5F15FDFCBF}">
      <formula1>$G$31:$H$31</formula1>
    </dataValidation>
    <dataValidation type="list" allowBlank="1" showInputMessage="1" showErrorMessage="1" sqref="E33" xr:uid="{95BD16CF-353F-6E43-8CC7-A6A18FB57A05}">
      <formula1>$G$33:$H$33</formula1>
    </dataValidation>
    <dataValidation type="list" allowBlank="1" showInputMessage="1" showErrorMessage="1" sqref="E36" xr:uid="{CD12AA18-21D6-7845-8C24-B48872EFE681}">
      <formula1>$G$36:$H$36</formula1>
    </dataValidation>
    <dataValidation type="list" allowBlank="1" showInputMessage="1" showErrorMessage="1" sqref="E38" xr:uid="{D420F054-5064-AA4D-BDCF-590CB0C2150E}">
      <formula1>$G$38:$H$38</formula1>
    </dataValidation>
    <dataValidation type="list" allowBlank="1" showInputMessage="1" showErrorMessage="1" sqref="E40" xr:uid="{708DADB7-F27E-5A44-AC3B-7298715E74B0}">
      <formula1>$G$40:$H$40</formula1>
    </dataValidation>
    <dataValidation type="list" allowBlank="1" showInputMessage="1" showErrorMessage="1" sqref="E42" xr:uid="{4C038A65-A635-A240-AC6A-49B7EC6BBD22}">
      <formula1>$G$42:$H$42</formula1>
    </dataValidation>
    <dataValidation type="list" allowBlank="1" showInputMessage="1" showErrorMessage="1" sqref="E44" xr:uid="{CAB39026-4D63-4441-A2FC-0E0B2C1FB0A0}">
      <formula1>$G$44:$H$44</formula1>
    </dataValidation>
    <dataValidation type="list" allowBlank="1" showInputMessage="1" showErrorMessage="1" sqref="E46" xr:uid="{86F9FA30-86E5-D540-B9E2-45E2F08B8FC5}">
      <formula1>$G$46:$H$46</formula1>
    </dataValidation>
    <dataValidation type="list" allowBlank="1" showInputMessage="1" showErrorMessage="1" sqref="E48" xr:uid="{43FCEC49-9E67-FB41-93EC-72846753BFF6}">
      <formula1>$G$48:$H$48</formula1>
    </dataValidation>
  </dataValidations>
  <pageMargins left="0.23622047244094491" right="0.23622047244094491" top="0" bottom="0.74803149606299213" header="0.31496062992125984" footer="0.31496062992125984"/>
  <pageSetup paperSize="8" orientation="landscape" horizontalDpi="0" verticalDpi="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B192E-0F1B-DA42-9807-57F9E4FDDFD0}">
  <sheetPr codeName="Sheet7"/>
  <dimension ref="A1:HQ504"/>
  <sheetViews>
    <sheetView topLeftCell="A131" zoomScaleNormal="100" workbookViewId="0">
      <selection activeCell="C157" sqref="C157:F157"/>
    </sheetView>
  </sheetViews>
  <sheetFormatPr baseColWidth="10" defaultColWidth="10.83203125" defaultRowHeight="26"/>
  <cols>
    <col min="1" max="1" width="22.83203125" style="36" customWidth="1"/>
    <col min="2" max="3" width="10.83203125" style="36"/>
    <col min="4" max="4" width="45.83203125" style="36" bestFit="1" customWidth="1"/>
    <col min="5" max="5" width="132.5" style="36" customWidth="1"/>
    <col min="6" max="6" width="20.1640625" style="36" customWidth="1"/>
    <col min="7" max="7" width="51.5" style="35" customWidth="1"/>
    <col min="8" max="8" width="15" style="172" customWidth="1"/>
    <col min="9" max="9" width="26.83203125" style="36" bestFit="1" customWidth="1"/>
    <col min="10" max="10" width="25.6640625" style="36" bestFit="1" customWidth="1"/>
    <col min="11" max="11" width="27.5" style="36" bestFit="1" customWidth="1"/>
    <col min="12" max="12" width="24.6640625" style="36" bestFit="1" customWidth="1"/>
    <col min="13" max="13" width="17.33203125" style="36" bestFit="1" customWidth="1"/>
    <col min="14" max="14" width="8.33203125" style="36" bestFit="1" customWidth="1"/>
    <col min="15" max="15" width="16.6640625" style="36" bestFit="1" customWidth="1"/>
    <col min="16" max="16384" width="10.83203125" style="36"/>
  </cols>
  <sheetData>
    <row r="1" spans="1:225" ht="41" customHeight="1">
      <c r="A1" s="44" t="s">
        <v>330</v>
      </c>
      <c r="B1" s="35"/>
      <c r="C1" s="35"/>
      <c r="D1" s="35"/>
      <c r="E1" s="35"/>
      <c r="F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5"/>
      <c r="CV1" s="35"/>
      <c r="CW1" s="35"/>
      <c r="CX1" s="35"/>
      <c r="CY1" s="35"/>
      <c r="CZ1" s="35"/>
      <c r="DA1" s="35"/>
      <c r="DB1" s="35"/>
      <c r="DC1" s="35"/>
      <c r="DD1" s="35"/>
      <c r="DE1" s="35"/>
      <c r="DF1" s="35"/>
      <c r="DG1" s="35"/>
      <c r="DH1" s="35"/>
      <c r="DI1" s="35"/>
      <c r="DJ1" s="35"/>
      <c r="DK1" s="35"/>
      <c r="DL1" s="35"/>
      <c r="DM1" s="35"/>
      <c r="DN1" s="35"/>
      <c r="DO1" s="35"/>
      <c r="DP1" s="35"/>
      <c r="DQ1" s="35"/>
      <c r="DR1" s="35"/>
      <c r="DS1" s="35"/>
      <c r="DT1" s="35"/>
      <c r="DU1" s="35"/>
      <c r="DV1" s="35"/>
      <c r="DW1" s="35"/>
      <c r="DX1" s="35"/>
      <c r="DY1" s="35"/>
      <c r="DZ1" s="35"/>
      <c r="EA1" s="35"/>
      <c r="EB1" s="35"/>
      <c r="EC1" s="35"/>
      <c r="ED1" s="35"/>
      <c r="EE1" s="35"/>
      <c r="EF1" s="35"/>
      <c r="EG1" s="35"/>
      <c r="EH1" s="35"/>
      <c r="EI1" s="35"/>
      <c r="EJ1" s="35"/>
      <c r="EK1" s="35"/>
      <c r="EL1" s="35"/>
      <c r="EM1" s="35"/>
      <c r="EN1" s="35"/>
      <c r="EO1" s="35"/>
      <c r="EP1" s="35"/>
      <c r="EQ1" s="35"/>
      <c r="ER1" s="35"/>
      <c r="ES1" s="35"/>
      <c r="ET1" s="35"/>
      <c r="EU1" s="35"/>
      <c r="EV1" s="35"/>
      <c r="EW1" s="35"/>
      <c r="EX1" s="35"/>
      <c r="EY1" s="35"/>
      <c r="EZ1" s="35"/>
      <c r="FA1" s="35"/>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5"/>
      <c r="GO1" s="35"/>
      <c r="GP1" s="35"/>
      <c r="GQ1" s="35"/>
      <c r="GR1" s="35"/>
      <c r="GS1" s="35"/>
      <c r="GT1" s="35"/>
      <c r="GU1" s="35"/>
      <c r="GV1" s="35"/>
      <c r="GW1" s="35"/>
      <c r="GX1" s="35"/>
      <c r="GY1" s="35"/>
      <c r="GZ1" s="35"/>
      <c r="HA1" s="35"/>
      <c r="HB1" s="35"/>
      <c r="HC1" s="35"/>
      <c r="HD1" s="35"/>
      <c r="HE1" s="35"/>
      <c r="HF1" s="35"/>
      <c r="HG1" s="35"/>
      <c r="HH1" s="35"/>
      <c r="HI1" s="35"/>
      <c r="HJ1" s="35"/>
      <c r="HK1" s="35"/>
      <c r="HL1" s="35"/>
      <c r="HM1" s="35"/>
      <c r="HN1" s="35"/>
      <c r="HO1" s="35"/>
      <c r="HP1" s="35"/>
      <c r="HQ1" s="35"/>
    </row>
    <row r="2" spans="1:225">
      <c r="A2" s="35"/>
      <c r="B2" s="35"/>
      <c r="C2" s="35"/>
      <c r="D2" s="35"/>
      <c r="E2" s="35"/>
      <c r="F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c r="CR2" s="35"/>
      <c r="CS2" s="35"/>
      <c r="CT2" s="35"/>
      <c r="CU2" s="35"/>
      <c r="CV2" s="35"/>
      <c r="CW2" s="35"/>
      <c r="CX2" s="35"/>
      <c r="CY2" s="35"/>
      <c r="CZ2" s="35"/>
      <c r="DA2" s="35"/>
      <c r="DB2" s="35"/>
      <c r="DC2" s="35"/>
      <c r="DD2" s="35"/>
      <c r="DE2" s="35"/>
      <c r="DF2" s="35"/>
      <c r="DG2" s="35"/>
      <c r="DH2" s="35"/>
      <c r="DI2" s="35"/>
      <c r="DJ2" s="35"/>
      <c r="DK2" s="35"/>
      <c r="DL2" s="35"/>
      <c r="DM2" s="35"/>
      <c r="DN2" s="35"/>
      <c r="DO2" s="35"/>
      <c r="DP2" s="35"/>
      <c r="DQ2" s="35"/>
      <c r="DR2" s="35"/>
      <c r="DS2" s="35"/>
      <c r="DT2" s="35"/>
      <c r="DU2" s="35"/>
      <c r="DV2" s="35"/>
      <c r="DW2" s="35"/>
      <c r="DX2" s="35"/>
      <c r="DY2" s="35"/>
      <c r="DZ2" s="35"/>
      <c r="EA2" s="35"/>
      <c r="EB2" s="35"/>
      <c r="EC2" s="35"/>
      <c r="ED2" s="35"/>
      <c r="EE2" s="35"/>
      <c r="EF2" s="35"/>
      <c r="EG2" s="35"/>
      <c r="EH2" s="35"/>
      <c r="EI2" s="35"/>
      <c r="EJ2" s="35"/>
      <c r="EK2" s="35"/>
      <c r="EL2" s="35"/>
      <c r="EM2" s="35"/>
      <c r="EN2" s="35"/>
      <c r="EO2" s="35"/>
      <c r="EP2" s="35"/>
      <c r="EQ2" s="35"/>
      <c r="ER2" s="35"/>
      <c r="ES2" s="35"/>
      <c r="ET2" s="35"/>
      <c r="EU2" s="35"/>
      <c r="EV2" s="35"/>
      <c r="EW2" s="35"/>
      <c r="EX2" s="35"/>
      <c r="EY2" s="35"/>
      <c r="EZ2" s="35"/>
      <c r="FA2" s="35"/>
      <c r="FB2" s="35"/>
      <c r="FC2" s="35"/>
      <c r="FD2" s="35"/>
      <c r="FE2" s="35"/>
      <c r="FF2" s="35"/>
      <c r="FG2" s="35"/>
      <c r="FH2" s="35"/>
      <c r="FI2" s="35"/>
      <c r="FJ2" s="35"/>
      <c r="FK2" s="35"/>
      <c r="FL2" s="35"/>
      <c r="FM2" s="35"/>
      <c r="FN2" s="35"/>
      <c r="FO2" s="35"/>
      <c r="FP2" s="35"/>
      <c r="FQ2" s="35"/>
      <c r="FR2" s="35"/>
      <c r="FS2" s="35"/>
      <c r="FT2" s="35"/>
      <c r="FU2" s="35"/>
      <c r="FV2" s="35"/>
      <c r="FW2" s="35"/>
      <c r="FX2" s="35"/>
      <c r="FY2" s="35"/>
      <c r="FZ2" s="35"/>
      <c r="GA2" s="35"/>
      <c r="GB2" s="35"/>
      <c r="GC2" s="35"/>
      <c r="GD2" s="35"/>
      <c r="GE2" s="35"/>
      <c r="GF2" s="35"/>
      <c r="GG2" s="35"/>
      <c r="GH2" s="35"/>
      <c r="GI2" s="35"/>
      <c r="GJ2" s="35"/>
      <c r="GK2" s="35"/>
      <c r="GL2" s="35"/>
      <c r="GM2" s="35"/>
      <c r="GN2" s="35"/>
      <c r="GO2" s="35"/>
      <c r="GP2" s="35"/>
      <c r="GQ2" s="35"/>
      <c r="GR2" s="35"/>
      <c r="GS2" s="35"/>
      <c r="GT2" s="35"/>
      <c r="GU2" s="35"/>
      <c r="GV2" s="35"/>
      <c r="GW2" s="35"/>
      <c r="GX2" s="35"/>
      <c r="GY2" s="35"/>
      <c r="GZ2" s="35"/>
      <c r="HA2" s="35"/>
      <c r="HB2" s="35"/>
      <c r="HC2" s="35"/>
      <c r="HD2" s="35"/>
      <c r="HE2" s="35"/>
      <c r="HF2" s="35"/>
      <c r="HG2" s="35"/>
      <c r="HH2" s="35"/>
      <c r="HI2" s="35"/>
      <c r="HJ2" s="35"/>
      <c r="HK2" s="35"/>
      <c r="HL2" s="35"/>
      <c r="HM2" s="35"/>
      <c r="HN2" s="35"/>
      <c r="HO2" s="35"/>
      <c r="HP2" s="35"/>
      <c r="HQ2" s="35"/>
    </row>
    <row r="3" spans="1:225">
      <c r="A3" s="35"/>
      <c r="B3" s="35" t="s">
        <v>324</v>
      </c>
      <c r="C3" s="35"/>
      <c r="D3" s="35"/>
      <c r="E3" s="35"/>
      <c r="F3" s="35"/>
      <c r="I3" s="41"/>
      <c r="J3" s="41"/>
      <c r="K3" s="41"/>
      <c r="L3" s="41"/>
      <c r="M3" s="41"/>
      <c r="N3" s="41"/>
      <c r="O3" s="41"/>
      <c r="P3" s="41"/>
      <c r="Q3" s="41"/>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c r="BY3" s="35"/>
      <c r="BZ3" s="35"/>
      <c r="CA3" s="35"/>
      <c r="CB3" s="35"/>
      <c r="CC3" s="35"/>
      <c r="CD3" s="35"/>
      <c r="CE3" s="35"/>
      <c r="CF3" s="35"/>
      <c r="CG3" s="35"/>
      <c r="CH3" s="35"/>
      <c r="CI3" s="35"/>
      <c r="CJ3" s="35"/>
      <c r="CK3" s="35"/>
      <c r="CL3" s="35"/>
      <c r="CM3" s="35"/>
      <c r="CN3" s="35"/>
      <c r="CO3" s="35"/>
      <c r="CP3" s="35"/>
      <c r="CQ3" s="35"/>
      <c r="CR3" s="35"/>
      <c r="CS3" s="35"/>
      <c r="CT3" s="35"/>
      <c r="CU3" s="35"/>
      <c r="CV3" s="35"/>
      <c r="CW3" s="35"/>
      <c r="CX3" s="35"/>
      <c r="CY3" s="35"/>
      <c r="CZ3" s="35"/>
      <c r="DA3" s="35"/>
      <c r="DB3" s="35"/>
      <c r="DC3" s="35"/>
      <c r="DD3" s="35"/>
      <c r="DE3" s="35"/>
      <c r="DF3" s="35"/>
      <c r="DG3" s="35"/>
      <c r="DH3" s="35"/>
      <c r="DI3" s="35"/>
      <c r="DJ3" s="35"/>
      <c r="DK3" s="35"/>
      <c r="DL3" s="35"/>
      <c r="DM3" s="35"/>
      <c r="DN3" s="35"/>
      <c r="DO3" s="35"/>
      <c r="DP3" s="35"/>
      <c r="DQ3" s="35"/>
      <c r="DR3" s="35"/>
      <c r="DS3" s="35"/>
      <c r="DT3" s="35"/>
      <c r="DU3" s="35"/>
      <c r="DV3" s="35"/>
      <c r="DW3" s="35"/>
      <c r="DX3" s="35"/>
      <c r="DY3" s="35"/>
      <c r="DZ3" s="35"/>
      <c r="EA3" s="35"/>
      <c r="EB3" s="35"/>
      <c r="EC3" s="35"/>
      <c r="ED3" s="35"/>
      <c r="EE3" s="35"/>
      <c r="EF3" s="35"/>
      <c r="EG3" s="35"/>
      <c r="EH3" s="35"/>
      <c r="EI3" s="35"/>
      <c r="EJ3" s="35"/>
      <c r="EK3" s="35"/>
      <c r="EL3" s="35"/>
      <c r="EM3" s="35"/>
      <c r="EN3" s="35"/>
      <c r="EO3" s="35"/>
      <c r="EP3" s="35"/>
      <c r="EQ3" s="35"/>
      <c r="ER3" s="35"/>
      <c r="ES3" s="35"/>
      <c r="ET3" s="35"/>
      <c r="EU3" s="35"/>
      <c r="EV3" s="35"/>
      <c r="EW3" s="35"/>
      <c r="EX3" s="35"/>
      <c r="EY3" s="35"/>
      <c r="EZ3" s="35"/>
      <c r="FA3" s="35"/>
      <c r="FB3" s="35"/>
      <c r="FC3" s="35"/>
      <c r="FD3" s="35"/>
      <c r="FE3" s="35"/>
      <c r="FF3" s="35"/>
      <c r="FG3" s="35"/>
      <c r="FH3" s="35"/>
      <c r="FI3" s="35"/>
      <c r="FJ3" s="35"/>
      <c r="FK3" s="35"/>
      <c r="FL3" s="35"/>
      <c r="FM3" s="35"/>
      <c r="FN3" s="35"/>
      <c r="FO3" s="35"/>
      <c r="FP3" s="35"/>
      <c r="FQ3" s="35"/>
      <c r="FR3" s="35"/>
      <c r="FS3" s="35"/>
      <c r="FT3" s="35"/>
      <c r="FU3" s="35"/>
      <c r="FV3" s="35"/>
      <c r="FW3" s="35"/>
      <c r="FX3" s="35"/>
      <c r="FY3" s="35"/>
      <c r="FZ3" s="35"/>
      <c r="GA3" s="35"/>
      <c r="GB3" s="35"/>
      <c r="GC3" s="35"/>
      <c r="GD3" s="35"/>
      <c r="GE3" s="35"/>
      <c r="GF3" s="35"/>
      <c r="GG3" s="35"/>
      <c r="GH3" s="35"/>
      <c r="GI3" s="35"/>
      <c r="GJ3" s="35"/>
      <c r="GK3" s="35"/>
      <c r="GL3" s="35"/>
      <c r="GM3" s="35"/>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N3" s="35"/>
      <c r="HO3" s="35"/>
      <c r="HP3" s="35"/>
      <c r="HQ3" s="35"/>
    </row>
    <row r="4" spans="1:225" s="38" customFormat="1" ht="21">
      <c r="A4" s="37"/>
      <c r="B4" s="37"/>
      <c r="C4" s="37">
        <v>1</v>
      </c>
      <c r="D4" s="37"/>
      <c r="E4" s="33" t="s">
        <v>331</v>
      </c>
      <c r="F4" s="33"/>
      <c r="G4" s="179"/>
      <c r="H4" s="172"/>
      <c r="I4" s="42" t="s">
        <v>7</v>
      </c>
      <c r="J4" s="42" t="s">
        <v>9</v>
      </c>
      <c r="K4" s="42"/>
      <c r="L4" s="42"/>
      <c r="M4" s="42"/>
      <c r="N4" s="42"/>
      <c r="O4" s="42"/>
      <c r="P4" s="42"/>
      <c r="Q4" s="42"/>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c r="CD4" s="37"/>
      <c r="CE4" s="37"/>
      <c r="CF4" s="37"/>
      <c r="CG4" s="37"/>
      <c r="CH4" s="37"/>
      <c r="CI4" s="37"/>
      <c r="CJ4" s="37"/>
      <c r="CK4" s="37"/>
      <c r="CL4" s="37"/>
      <c r="CM4" s="37"/>
      <c r="CN4" s="37"/>
      <c r="CO4" s="37"/>
      <c r="CP4" s="37"/>
      <c r="CQ4" s="37"/>
      <c r="CR4" s="37"/>
      <c r="CS4" s="37"/>
      <c r="CT4" s="37"/>
      <c r="CU4" s="37"/>
      <c r="CV4" s="37"/>
      <c r="CW4" s="37"/>
      <c r="CX4" s="37"/>
      <c r="CY4" s="37"/>
      <c r="CZ4" s="37"/>
      <c r="DA4" s="37"/>
      <c r="DB4" s="37"/>
      <c r="DC4" s="37"/>
      <c r="DD4" s="37"/>
      <c r="DE4" s="37"/>
      <c r="DF4" s="37"/>
      <c r="DG4" s="37"/>
      <c r="DH4" s="37"/>
      <c r="DI4" s="37"/>
      <c r="DJ4" s="37"/>
      <c r="DK4" s="37"/>
      <c r="DL4" s="37"/>
      <c r="DM4" s="37"/>
      <c r="DN4" s="37"/>
      <c r="DO4" s="37"/>
      <c r="DP4" s="37"/>
      <c r="DQ4" s="37"/>
      <c r="DR4" s="37"/>
      <c r="DS4" s="37"/>
      <c r="DT4" s="37"/>
      <c r="DU4" s="37"/>
      <c r="DV4" s="37"/>
      <c r="DW4" s="37"/>
      <c r="DX4" s="37"/>
      <c r="DY4" s="37"/>
      <c r="DZ4" s="37"/>
      <c r="EA4" s="37"/>
      <c r="EB4" s="37"/>
      <c r="EC4" s="37"/>
      <c r="ED4" s="37"/>
      <c r="EE4" s="37"/>
      <c r="EF4" s="37"/>
      <c r="EG4" s="37"/>
      <c r="EH4" s="37"/>
      <c r="EI4" s="37"/>
      <c r="EJ4" s="37"/>
      <c r="EK4" s="37"/>
      <c r="EL4" s="37"/>
      <c r="EM4" s="37"/>
      <c r="EN4" s="37"/>
      <c r="EO4" s="37"/>
      <c r="EP4" s="37"/>
      <c r="EQ4" s="37"/>
      <c r="ER4" s="37"/>
      <c r="ES4" s="37"/>
      <c r="ET4" s="37"/>
      <c r="EU4" s="37"/>
      <c r="EV4" s="37"/>
      <c r="EW4" s="37"/>
      <c r="EX4" s="37"/>
      <c r="EY4" s="37"/>
      <c r="EZ4" s="37"/>
      <c r="FA4" s="37"/>
      <c r="FB4" s="37"/>
      <c r="FC4" s="37"/>
      <c r="FD4" s="37"/>
      <c r="FE4" s="37"/>
      <c r="FF4" s="37"/>
      <c r="FG4" s="37"/>
      <c r="FH4" s="37"/>
      <c r="FI4" s="37"/>
      <c r="FJ4" s="37"/>
      <c r="FK4" s="37"/>
      <c r="FL4" s="37"/>
      <c r="FM4" s="37"/>
      <c r="FN4" s="37"/>
      <c r="FO4" s="37"/>
      <c r="FP4" s="37"/>
      <c r="FQ4" s="37"/>
      <c r="FR4" s="37"/>
      <c r="FS4" s="37"/>
      <c r="FT4" s="37"/>
      <c r="FU4" s="37"/>
      <c r="FV4" s="37"/>
      <c r="FW4" s="37"/>
      <c r="FX4" s="37"/>
      <c r="FY4" s="37"/>
      <c r="FZ4" s="37"/>
      <c r="GA4" s="37"/>
      <c r="GB4" s="37"/>
      <c r="GC4" s="37"/>
      <c r="GD4" s="37"/>
      <c r="GE4" s="37"/>
      <c r="GF4" s="37"/>
      <c r="GG4" s="37"/>
      <c r="GH4" s="37"/>
      <c r="GI4" s="37"/>
      <c r="GJ4" s="37"/>
      <c r="GK4" s="37"/>
      <c r="GL4" s="37"/>
      <c r="GM4" s="37"/>
      <c r="GN4" s="37"/>
      <c r="GO4" s="37"/>
      <c r="GP4" s="37"/>
      <c r="GQ4" s="37"/>
      <c r="GR4" s="37"/>
      <c r="GS4" s="37"/>
      <c r="GT4" s="37"/>
      <c r="GU4" s="37"/>
      <c r="GV4" s="37"/>
      <c r="GW4" s="37"/>
      <c r="GX4" s="37"/>
      <c r="GY4" s="37"/>
      <c r="GZ4" s="37"/>
      <c r="HA4" s="37"/>
      <c r="HB4" s="37"/>
      <c r="HC4" s="37"/>
      <c r="HD4" s="37"/>
      <c r="HE4" s="37"/>
      <c r="HF4" s="37"/>
      <c r="HG4" s="37"/>
      <c r="HH4" s="37"/>
      <c r="HI4" s="37"/>
      <c r="HJ4" s="37"/>
      <c r="HK4" s="37"/>
      <c r="HL4" s="37"/>
      <c r="HM4" s="37"/>
      <c r="HN4" s="37"/>
      <c r="HO4" s="37"/>
      <c r="HP4" s="37"/>
      <c r="HQ4" s="37"/>
    </row>
    <row r="5" spans="1:225" s="38" customFormat="1" ht="21">
      <c r="A5" s="37"/>
      <c r="B5" s="37"/>
      <c r="C5" s="37">
        <v>2</v>
      </c>
      <c r="D5" s="37"/>
      <c r="E5" s="33" t="s">
        <v>332</v>
      </c>
      <c r="F5" s="33"/>
      <c r="G5" s="180"/>
      <c r="H5" s="172"/>
      <c r="I5" s="42" t="s">
        <v>525</v>
      </c>
      <c r="J5" s="42" t="s">
        <v>521</v>
      </c>
      <c r="K5" s="42" t="s">
        <v>522</v>
      </c>
      <c r="L5" s="42"/>
      <c r="M5" s="42"/>
      <c r="N5" s="42"/>
      <c r="O5" s="42"/>
      <c r="P5" s="42"/>
      <c r="Q5" s="42"/>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c r="CE5" s="37"/>
      <c r="CF5" s="37"/>
      <c r="CG5" s="37"/>
      <c r="CH5" s="37"/>
      <c r="CI5" s="37"/>
      <c r="CJ5" s="37"/>
      <c r="CK5" s="37"/>
      <c r="CL5" s="37"/>
      <c r="CM5" s="37"/>
      <c r="CN5" s="37"/>
      <c r="CO5" s="37"/>
      <c r="CP5" s="37"/>
      <c r="CQ5" s="37"/>
      <c r="CR5" s="37"/>
      <c r="CS5" s="37"/>
      <c r="CT5" s="37"/>
      <c r="CU5" s="37"/>
      <c r="CV5" s="37"/>
      <c r="CW5" s="37"/>
      <c r="CX5" s="37"/>
      <c r="CY5" s="37"/>
      <c r="CZ5" s="37"/>
      <c r="DA5" s="37"/>
      <c r="DB5" s="37"/>
      <c r="DC5" s="37"/>
      <c r="DD5" s="37"/>
      <c r="DE5" s="37"/>
      <c r="DF5" s="37"/>
      <c r="DG5" s="37"/>
      <c r="DH5" s="37"/>
      <c r="DI5" s="37"/>
      <c r="DJ5" s="37"/>
      <c r="DK5" s="37"/>
      <c r="DL5" s="37"/>
      <c r="DM5" s="37"/>
      <c r="DN5" s="37"/>
      <c r="DO5" s="37"/>
      <c r="DP5" s="37"/>
      <c r="DQ5" s="37"/>
      <c r="DR5" s="37"/>
      <c r="DS5" s="37"/>
      <c r="DT5" s="37"/>
      <c r="DU5" s="37"/>
      <c r="DV5" s="37"/>
      <c r="DW5" s="37"/>
      <c r="DX5" s="37"/>
      <c r="DY5" s="37"/>
      <c r="DZ5" s="37"/>
      <c r="EA5" s="37"/>
      <c r="EB5" s="37"/>
      <c r="EC5" s="37"/>
      <c r="ED5" s="37"/>
      <c r="EE5" s="37"/>
      <c r="EF5" s="37"/>
      <c r="EG5" s="37"/>
      <c r="EH5" s="37"/>
      <c r="EI5" s="37"/>
      <c r="EJ5" s="37"/>
      <c r="EK5" s="37"/>
      <c r="EL5" s="37"/>
      <c r="EM5" s="37"/>
      <c r="EN5" s="37"/>
      <c r="EO5" s="37"/>
      <c r="EP5" s="37"/>
      <c r="EQ5" s="37"/>
      <c r="ER5" s="37"/>
      <c r="ES5" s="37"/>
      <c r="ET5" s="37"/>
      <c r="EU5" s="37"/>
      <c r="EV5" s="37"/>
      <c r="EW5" s="37"/>
      <c r="EX5" s="37"/>
      <c r="EY5" s="37"/>
      <c r="EZ5" s="37"/>
      <c r="FA5" s="37"/>
      <c r="FB5" s="37"/>
      <c r="FC5" s="37"/>
      <c r="FD5" s="37"/>
      <c r="FE5" s="37"/>
      <c r="FF5" s="37"/>
      <c r="FG5" s="37"/>
      <c r="FH5" s="37"/>
      <c r="FI5" s="37"/>
      <c r="FJ5" s="37"/>
      <c r="FK5" s="37"/>
      <c r="FL5" s="37"/>
      <c r="FM5" s="37"/>
      <c r="FN5" s="37"/>
      <c r="FO5" s="37"/>
      <c r="FP5" s="37"/>
      <c r="FQ5" s="37"/>
      <c r="FR5" s="37"/>
      <c r="FS5" s="37"/>
      <c r="FT5" s="37"/>
      <c r="FU5" s="37"/>
      <c r="FV5" s="37"/>
      <c r="FW5" s="37"/>
      <c r="FX5" s="37"/>
      <c r="FY5" s="37"/>
      <c r="FZ5" s="37"/>
      <c r="GA5" s="37"/>
      <c r="GB5" s="37"/>
      <c r="GC5" s="37"/>
      <c r="GD5" s="37"/>
      <c r="GE5" s="37"/>
      <c r="GF5" s="37"/>
      <c r="GG5" s="37"/>
      <c r="GH5" s="37"/>
      <c r="GI5" s="37"/>
      <c r="GJ5" s="37"/>
      <c r="GK5" s="37"/>
      <c r="GL5" s="37"/>
      <c r="GM5" s="37"/>
      <c r="GN5" s="37"/>
      <c r="GO5" s="37"/>
      <c r="GP5" s="37"/>
      <c r="GQ5" s="37"/>
      <c r="GR5" s="37"/>
      <c r="GS5" s="37"/>
      <c r="GT5" s="37"/>
      <c r="GU5" s="37"/>
      <c r="GV5" s="37"/>
      <c r="GW5" s="37"/>
      <c r="GX5" s="37"/>
      <c r="GY5" s="37"/>
      <c r="GZ5" s="37"/>
      <c r="HA5" s="37"/>
      <c r="HB5" s="37"/>
      <c r="HC5" s="37"/>
      <c r="HD5" s="37"/>
      <c r="HE5" s="37"/>
      <c r="HF5" s="37"/>
      <c r="HG5" s="37"/>
      <c r="HH5" s="37"/>
      <c r="HI5" s="37"/>
      <c r="HJ5" s="37"/>
      <c r="HK5" s="37"/>
      <c r="HL5" s="37"/>
      <c r="HM5" s="37"/>
      <c r="HN5" s="37"/>
      <c r="HO5" s="37"/>
      <c r="HP5" s="37"/>
      <c r="HQ5" s="37"/>
    </row>
    <row r="6" spans="1:225" s="38" customFormat="1">
      <c r="A6" s="37"/>
      <c r="B6" s="37"/>
      <c r="C6" s="37">
        <v>3</v>
      </c>
      <c r="D6" s="37"/>
      <c r="E6" s="33" t="s">
        <v>523</v>
      </c>
      <c r="F6" s="35"/>
      <c r="G6" s="181"/>
      <c r="H6" s="172"/>
      <c r="I6" s="41" t="s">
        <v>335</v>
      </c>
      <c r="J6" s="41" t="s">
        <v>336</v>
      </c>
      <c r="K6" s="42" t="s">
        <v>337</v>
      </c>
      <c r="L6" s="42" t="s">
        <v>338</v>
      </c>
      <c r="M6" s="42" t="s">
        <v>339</v>
      </c>
      <c r="N6" s="42"/>
      <c r="O6" s="42"/>
      <c r="P6" s="42"/>
      <c r="Q6" s="42"/>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c r="CE6" s="37"/>
      <c r="CF6" s="37"/>
      <c r="CG6" s="37"/>
      <c r="CH6" s="37"/>
      <c r="CI6" s="37"/>
      <c r="CJ6" s="37"/>
      <c r="CK6" s="37"/>
      <c r="CL6" s="37"/>
      <c r="CM6" s="37"/>
      <c r="CN6" s="37"/>
      <c r="CO6" s="37"/>
      <c r="CP6" s="37"/>
      <c r="CQ6" s="37"/>
      <c r="CR6" s="37"/>
      <c r="CS6" s="37"/>
      <c r="CT6" s="37"/>
      <c r="CU6" s="37"/>
      <c r="CV6" s="37"/>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7"/>
      <c r="EI6" s="37"/>
      <c r="EJ6" s="37"/>
      <c r="EK6" s="37"/>
      <c r="EL6" s="37"/>
      <c r="EM6" s="37"/>
      <c r="EN6" s="37"/>
      <c r="EO6" s="37"/>
      <c r="EP6" s="37"/>
      <c r="EQ6" s="37"/>
      <c r="ER6" s="37"/>
      <c r="ES6" s="37"/>
      <c r="ET6" s="37"/>
      <c r="EU6" s="37"/>
      <c r="EV6" s="37"/>
      <c r="EW6" s="37"/>
      <c r="EX6" s="37"/>
      <c r="EY6" s="37"/>
      <c r="EZ6" s="37"/>
      <c r="FA6" s="37"/>
      <c r="FB6" s="37"/>
      <c r="FC6" s="37"/>
      <c r="FD6" s="37"/>
      <c r="FE6" s="37"/>
      <c r="FF6" s="37"/>
      <c r="FG6" s="37"/>
      <c r="FH6" s="37"/>
      <c r="FI6" s="37"/>
      <c r="FJ6" s="37"/>
      <c r="FK6" s="37"/>
      <c r="FL6" s="37"/>
      <c r="FM6" s="37"/>
      <c r="FN6" s="37"/>
      <c r="FO6" s="37"/>
      <c r="FP6" s="37"/>
      <c r="FQ6" s="37"/>
      <c r="FR6" s="37"/>
      <c r="FS6" s="37"/>
      <c r="FT6" s="37"/>
      <c r="FU6" s="37"/>
      <c r="FV6" s="37"/>
      <c r="FW6" s="37"/>
      <c r="FX6" s="37"/>
      <c r="FY6" s="37"/>
      <c r="FZ6" s="37"/>
      <c r="GA6" s="37"/>
      <c r="GB6" s="37"/>
      <c r="GC6" s="37"/>
      <c r="GD6" s="37"/>
      <c r="GE6" s="37"/>
      <c r="GF6" s="37"/>
      <c r="GG6" s="37"/>
      <c r="GH6" s="37"/>
      <c r="GI6" s="37"/>
      <c r="GJ6" s="37"/>
      <c r="GK6" s="37"/>
      <c r="GL6" s="37"/>
      <c r="GM6" s="37"/>
      <c r="GN6" s="37"/>
      <c r="GO6" s="37"/>
      <c r="GP6" s="37"/>
      <c r="GQ6" s="37"/>
      <c r="GR6" s="37"/>
      <c r="GS6" s="37"/>
      <c r="GT6" s="37"/>
      <c r="GU6" s="37"/>
      <c r="GV6" s="37"/>
      <c r="GW6" s="37"/>
      <c r="GX6" s="37"/>
      <c r="GY6" s="37"/>
      <c r="GZ6" s="37"/>
      <c r="HA6" s="37"/>
      <c r="HB6" s="37"/>
      <c r="HC6" s="37"/>
      <c r="HD6" s="37"/>
      <c r="HE6" s="37"/>
      <c r="HF6" s="37"/>
      <c r="HG6" s="37"/>
      <c r="HH6" s="37"/>
      <c r="HI6" s="37"/>
      <c r="HJ6" s="37"/>
      <c r="HK6" s="37"/>
      <c r="HL6" s="37"/>
      <c r="HM6" s="37"/>
      <c r="HN6" s="37"/>
      <c r="HO6" s="37"/>
      <c r="HP6" s="37"/>
      <c r="HQ6" s="37"/>
    </row>
    <row r="7" spans="1:225" s="38" customFormat="1">
      <c r="A7" s="37"/>
      <c r="B7" s="37"/>
      <c r="C7" s="37">
        <v>4</v>
      </c>
      <c r="D7" s="37"/>
      <c r="E7" s="33" t="s">
        <v>524</v>
      </c>
      <c r="F7" s="35"/>
      <c r="G7" s="182"/>
      <c r="H7" s="172"/>
      <c r="I7" s="41" t="s">
        <v>335</v>
      </c>
      <c r="J7" s="41" t="s">
        <v>336</v>
      </c>
      <c r="K7" s="42" t="s">
        <v>337</v>
      </c>
      <c r="L7" s="42" t="s">
        <v>338</v>
      </c>
      <c r="M7" s="42" t="s">
        <v>339</v>
      </c>
      <c r="N7" s="42"/>
      <c r="O7" s="42"/>
      <c r="P7" s="42"/>
      <c r="Q7" s="42"/>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c r="DD7" s="37"/>
      <c r="DE7" s="37"/>
      <c r="DF7" s="37"/>
      <c r="DG7" s="37"/>
      <c r="DH7" s="37"/>
      <c r="DI7" s="37"/>
      <c r="DJ7" s="37"/>
      <c r="DK7" s="37"/>
      <c r="DL7" s="37"/>
      <c r="DM7" s="37"/>
      <c r="DN7" s="37"/>
      <c r="DO7" s="37"/>
      <c r="DP7" s="37"/>
      <c r="DQ7" s="37"/>
      <c r="DR7" s="37"/>
      <c r="DS7" s="37"/>
      <c r="DT7" s="37"/>
      <c r="DU7" s="37"/>
      <c r="DV7" s="37"/>
      <c r="DW7" s="37"/>
      <c r="DX7" s="37"/>
      <c r="DY7" s="37"/>
      <c r="DZ7" s="37"/>
      <c r="EA7" s="37"/>
      <c r="EB7" s="37"/>
      <c r="EC7" s="37"/>
      <c r="ED7" s="37"/>
      <c r="EE7" s="37"/>
      <c r="EF7" s="37"/>
      <c r="EG7" s="37"/>
      <c r="EH7" s="37"/>
      <c r="EI7" s="37"/>
      <c r="EJ7" s="37"/>
      <c r="EK7" s="37"/>
      <c r="EL7" s="37"/>
      <c r="EM7" s="37"/>
      <c r="EN7" s="37"/>
      <c r="EO7" s="37"/>
      <c r="EP7" s="37"/>
      <c r="EQ7" s="37"/>
      <c r="ER7" s="37"/>
      <c r="ES7" s="37"/>
      <c r="ET7" s="37"/>
      <c r="EU7" s="37"/>
      <c r="EV7" s="37"/>
      <c r="EW7" s="37"/>
      <c r="EX7" s="37"/>
      <c r="EY7" s="37"/>
      <c r="EZ7" s="37"/>
      <c r="FA7" s="37"/>
      <c r="FB7" s="37"/>
      <c r="FC7" s="37"/>
      <c r="FD7" s="37"/>
      <c r="FE7" s="37"/>
      <c r="FF7" s="37"/>
      <c r="FG7" s="37"/>
      <c r="FH7" s="37"/>
      <c r="FI7" s="37"/>
      <c r="FJ7" s="37"/>
      <c r="FK7" s="37"/>
      <c r="FL7" s="37"/>
      <c r="FM7" s="37"/>
      <c r="FN7" s="37"/>
      <c r="FO7" s="37"/>
      <c r="FP7" s="37"/>
      <c r="FQ7" s="37"/>
      <c r="FR7" s="37"/>
      <c r="FS7" s="37"/>
      <c r="FT7" s="37"/>
      <c r="FU7" s="37"/>
      <c r="FV7" s="37"/>
      <c r="FW7" s="37"/>
      <c r="FX7" s="37"/>
      <c r="FY7" s="37"/>
      <c r="FZ7" s="37"/>
      <c r="GA7" s="37"/>
      <c r="GB7" s="37"/>
      <c r="GC7" s="37"/>
      <c r="GD7" s="37"/>
      <c r="GE7" s="37"/>
      <c r="GF7" s="37"/>
      <c r="GG7" s="37"/>
      <c r="GH7" s="37"/>
      <c r="GI7" s="37"/>
      <c r="GJ7" s="37"/>
      <c r="GK7" s="37"/>
      <c r="GL7" s="37"/>
      <c r="GM7" s="37"/>
      <c r="GN7" s="37"/>
      <c r="GO7" s="37"/>
      <c r="GP7" s="37"/>
      <c r="GQ7" s="37"/>
      <c r="GR7" s="37"/>
      <c r="GS7" s="37"/>
      <c r="GT7" s="37"/>
      <c r="GU7" s="37"/>
      <c r="GV7" s="37"/>
      <c r="GW7" s="37"/>
      <c r="GX7" s="37"/>
      <c r="GY7" s="37"/>
      <c r="GZ7" s="37"/>
      <c r="HA7" s="37"/>
      <c r="HB7" s="37"/>
      <c r="HC7" s="37"/>
      <c r="HD7" s="37"/>
      <c r="HE7" s="37"/>
      <c r="HF7" s="37"/>
      <c r="HG7" s="37"/>
      <c r="HH7" s="37"/>
      <c r="HI7" s="37"/>
      <c r="HJ7" s="37"/>
      <c r="HK7" s="37"/>
      <c r="HL7" s="37"/>
      <c r="HM7" s="37"/>
      <c r="HN7" s="37"/>
      <c r="HO7" s="37"/>
      <c r="HP7" s="37"/>
      <c r="HQ7" s="37"/>
    </row>
    <row r="8" spans="1:225" s="38" customFormat="1">
      <c r="A8" s="37"/>
      <c r="B8" s="37"/>
      <c r="C8" s="37"/>
      <c r="D8" s="37"/>
      <c r="E8" s="37"/>
      <c r="F8" s="37"/>
      <c r="G8" s="37"/>
      <c r="H8" s="172"/>
      <c r="I8" s="41"/>
      <c r="J8" s="41"/>
      <c r="K8" s="42"/>
      <c r="L8" s="42"/>
      <c r="M8" s="42"/>
      <c r="N8" s="42"/>
      <c r="O8" s="42"/>
      <c r="P8" s="42"/>
      <c r="Q8" s="42"/>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c r="FC8" s="37"/>
      <c r="FD8" s="37"/>
      <c r="FE8" s="37"/>
      <c r="FF8" s="37"/>
      <c r="FG8" s="37"/>
      <c r="FH8" s="37"/>
      <c r="FI8" s="37"/>
      <c r="FJ8" s="37"/>
      <c r="FK8" s="37"/>
      <c r="FL8" s="37"/>
      <c r="FM8" s="37"/>
      <c r="FN8" s="37"/>
      <c r="FO8" s="37"/>
      <c r="FP8" s="37"/>
      <c r="FQ8" s="37"/>
      <c r="FR8" s="37"/>
      <c r="FS8" s="37"/>
      <c r="FT8" s="37"/>
      <c r="FU8" s="37"/>
      <c r="FV8" s="37"/>
      <c r="FW8" s="37"/>
      <c r="FX8" s="37"/>
      <c r="FY8" s="37"/>
      <c r="FZ8" s="37"/>
      <c r="GA8" s="37"/>
      <c r="GB8" s="37"/>
      <c r="GC8" s="37"/>
      <c r="GD8" s="37"/>
      <c r="GE8" s="37"/>
      <c r="GF8" s="37"/>
      <c r="GG8" s="37"/>
      <c r="GH8" s="37"/>
      <c r="GI8" s="37"/>
      <c r="GJ8" s="37"/>
      <c r="GK8" s="37"/>
      <c r="GL8" s="37"/>
      <c r="GM8" s="37"/>
      <c r="GN8" s="37"/>
      <c r="GO8" s="37"/>
      <c r="GP8" s="37"/>
      <c r="GQ8" s="37"/>
      <c r="GR8" s="37"/>
      <c r="GS8" s="37"/>
      <c r="GT8" s="37"/>
      <c r="GU8" s="37"/>
      <c r="GV8" s="37"/>
      <c r="GW8" s="37"/>
      <c r="GX8" s="37"/>
      <c r="GY8" s="37"/>
      <c r="GZ8" s="37"/>
      <c r="HA8" s="37"/>
      <c r="HB8" s="37"/>
      <c r="HC8" s="37"/>
      <c r="HD8" s="37"/>
      <c r="HE8" s="37"/>
      <c r="HF8" s="37"/>
      <c r="HG8" s="37"/>
      <c r="HH8" s="37"/>
      <c r="HI8" s="37"/>
      <c r="HJ8" s="37"/>
      <c r="HK8" s="37"/>
      <c r="HL8" s="37"/>
      <c r="HM8" s="37"/>
      <c r="HN8" s="37"/>
      <c r="HO8" s="37"/>
      <c r="HP8" s="37"/>
      <c r="HQ8" s="37"/>
    </row>
    <row r="9" spans="1:225" s="38" customFormat="1">
      <c r="A9" s="37"/>
      <c r="B9" s="37"/>
      <c r="C9" s="37">
        <v>4</v>
      </c>
      <c r="D9" s="37"/>
      <c r="E9" s="33" t="s">
        <v>333</v>
      </c>
      <c r="F9" s="33"/>
      <c r="G9" s="183"/>
      <c r="H9" s="172"/>
      <c r="I9" s="41" t="s">
        <v>7</v>
      </c>
      <c r="J9" s="41" t="s">
        <v>9</v>
      </c>
      <c r="K9" s="42"/>
      <c r="L9" s="42"/>
      <c r="M9" s="42"/>
      <c r="N9" s="42"/>
      <c r="O9" s="42"/>
      <c r="P9" s="42"/>
      <c r="Q9" s="42"/>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c r="DW9" s="37"/>
      <c r="DX9" s="37"/>
      <c r="DY9" s="37"/>
      <c r="DZ9" s="37"/>
      <c r="EA9" s="37"/>
      <c r="EB9" s="37"/>
      <c r="EC9" s="37"/>
      <c r="ED9" s="37"/>
      <c r="EE9" s="37"/>
      <c r="EF9" s="37"/>
      <c r="EG9" s="37"/>
      <c r="EH9" s="37"/>
      <c r="EI9" s="37"/>
      <c r="EJ9" s="37"/>
      <c r="EK9" s="37"/>
      <c r="EL9" s="37"/>
      <c r="EM9" s="37"/>
      <c r="EN9" s="37"/>
      <c r="EO9" s="37"/>
      <c r="EP9" s="37"/>
      <c r="EQ9" s="37"/>
      <c r="ER9" s="37"/>
      <c r="ES9" s="37"/>
      <c r="ET9" s="37"/>
      <c r="EU9" s="37"/>
      <c r="EV9" s="37"/>
      <c r="EW9" s="37"/>
      <c r="EX9" s="37"/>
      <c r="EY9" s="37"/>
      <c r="EZ9" s="37"/>
      <c r="FA9" s="37"/>
      <c r="FB9" s="37"/>
      <c r="FC9" s="37"/>
      <c r="FD9" s="37"/>
      <c r="FE9" s="37"/>
      <c r="FF9" s="37"/>
      <c r="FG9" s="37"/>
      <c r="FH9" s="37"/>
      <c r="FI9" s="37"/>
      <c r="FJ9" s="37"/>
      <c r="FK9" s="37"/>
      <c r="FL9" s="37"/>
      <c r="FM9" s="37"/>
      <c r="FN9" s="37"/>
      <c r="FO9" s="37"/>
      <c r="FP9" s="37"/>
      <c r="FQ9" s="37"/>
      <c r="FR9" s="37"/>
      <c r="FS9" s="37"/>
      <c r="FT9" s="37"/>
      <c r="FU9" s="37"/>
      <c r="FV9" s="37"/>
      <c r="FW9" s="37"/>
      <c r="FX9" s="37"/>
      <c r="FY9" s="37"/>
      <c r="FZ9" s="37"/>
      <c r="GA9" s="37"/>
      <c r="GB9" s="37"/>
      <c r="GC9" s="37"/>
      <c r="GD9" s="37"/>
      <c r="GE9" s="37"/>
      <c r="GF9" s="37"/>
      <c r="GG9" s="37"/>
      <c r="GH9" s="37"/>
      <c r="GI9" s="37"/>
      <c r="GJ9" s="37"/>
      <c r="GK9" s="37"/>
      <c r="GL9" s="37"/>
      <c r="GM9" s="37"/>
      <c r="GN9" s="37"/>
      <c r="GO9" s="37"/>
      <c r="GP9" s="37"/>
      <c r="GQ9" s="37"/>
      <c r="GR9" s="37"/>
      <c r="GS9" s="37"/>
      <c r="GT9" s="37"/>
      <c r="GU9" s="37"/>
      <c r="GV9" s="37"/>
      <c r="GW9" s="37"/>
      <c r="GX9" s="37"/>
      <c r="GY9" s="37"/>
      <c r="GZ9" s="37"/>
      <c r="HA9" s="37"/>
      <c r="HB9" s="37"/>
      <c r="HC9" s="37"/>
      <c r="HD9" s="37"/>
      <c r="HE9" s="37"/>
      <c r="HF9" s="37"/>
      <c r="HG9" s="37"/>
      <c r="HH9" s="37"/>
      <c r="HI9" s="37"/>
      <c r="HJ9" s="37"/>
      <c r="HK9" s="37"/>
      <c r="HL9" s="37"/>
      <c r="HM9" s="37"/>
      <c r="HN9" s="37"/>
      <c r="HO9" s="37"/>
      <c r="HP9" s="37"/>
      <c r="HQ9" s="37"/>
    </row>
    <row r="10" spans="1:225" s="38" customFormat="1">
      <c r="A10" s="37"/>
      <c r="B10" s="37"/>
      <c r="C10" s="37">
        <v>5</v>
      </c>
      <c r="D10" s="37"/>
      <c r="E10" s="33" t="s">
        <v>334</v>
      </c>
      <c r="F10" s="33"/>
      <c r="G10" s="183"/>
      <c r="H10" s="172"/>
      <c r="I10" s="41" t="s">
        <v>529</v>
      </c>
      <c r="J10" s="41" t="s">
        <v>530</v>
      </c>
      <c r="K10" s="42" t="s">
        <v>531</v>
      </c>
      <c r="L10" s="42" t="s">
        <v>532</v>
      </c>
      <c r="M10" s="42" t="s">
        <v>533</v>
      </c>
      <c r="N10" s="42" t="s">
        <v>534</v>
      </c>
      <c r="O10" s="42" t="s">
        <v>535</v>
      </c>
      <c r="P10" s="42"/>
      <c r="Q10" s="42"/>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s="37"/>
      <c r="DX10" s="37"/>
      <c r="DY10" s="37"/>
      <c r="DZ10" s="37"/>
      <c r="EA10" s="37"/>
      <c r="EB10" s="37"/>
      <c r="EC10" s="37"/>
      <c r="ED10" s="37"/>
      <c r="EE10" s="37"/>
      <c r="EF10" s="37"/>
      <c r="EG10" s="37"/>
      <c r="EH10" s="37"/>
      <c r="EI10" s="37"/>
      <c r="EJ10" s="37"/>
      <c r="EK10" s="37"/>
      <c r="EL10" s="37"/>
      <c r="EM10" s="37"/>
      <c r="EN10" s="37"/>
      <c r="EO10" s="37"/>
      <c r="EP10" s="37"/>
      <c r="EQ10" s="37"/>
      <c r="ER10" s="37"/>
      <c r="ES10" s="37"/>
      <c r="ET10" s="37"/>
      <c r="EU10" s="37"/>
      <c r="EV10" s="37"/>
      <c r="EW10" s="37"/>
      <c r="EX10" s="37"/>
      <c r="EY10" s="37"/>
      <c r="EZ10" s="37"/>
      <c r="FA10" s="37"/>
      <c r="FB10" s="37"/>
      <c r="FC10" s="37"/>
      <c r="FD10" s="37"/>
      <c r="FE10" s="37"/>
      <c r="FF10" s="37"/>
      <c r="FG10" s="37"/>
      <c r="FH10" s="37"/>
      <c r="FI10" s="37"/>
      <c r="FJ10" s="37"/>
      <c r="FK10" s="37"/>
      <c r="FL10" s="37"/>
      <c r="FM10" s="37"/>
      <c r="FN10" s="37"/>
      <c r="FO10" s="37"/>
      <c r="FP10" s="37"/>
      <c r="FQ10" s="37"/>
      <c r="FR10" s="37"/>
      <c r="FS10" s="37"/>
      <c r="FT10" s="37"/>
      <c r="FU10" s="37"/>
      <c r="FV10" s="37"/>
      <c r="FW10" s="37"/>
      <c r="FX10" s="37"/>
      <c r="FY10" s="37"/>
      <c r="FZ10" s="37"/>
      <c r="GA10" s="37"/>
      <c r="GB10" s="37"/>
      <c r="GC10" s="37"/>
      <c r="GD10" s="37"/>
      <c r="GE10" s="37"/>
      <c r="GF10" s="37"/>
      <c r="GG10" s="37"/>
      <c r="GH10" s="37"/>
      <c r="GI10" s="37"/>
      <c r="GJ10" s="37"/>
      <c r="GK10" s="37"/>
      <c r="GL10" s="37"/>
      <c r="GM10" s="37"/>
      <c r="GN10" s="37"/>
      <c r="GO10" s="37"/>
      <c r="GP10" s="37"/>
      <c r="GQ10" s="37"/>
      <c r="GR10" s="37"/>
      <c r="GS10" s="37"/>
      <c r="GT10" s="37"/>
      <c r="GU10" s="37"/>
      <c r="GV10" s="37"/>
      <c r="GW10" s="37"/>
      <c r="GX10" s="37"/>
      <c r="GY10" s="37"/>
      <c r="GZ10" s="37"/>
      <c r="HA10" s="37"/>
      <c r="HB10" s="37"/>
      <c r="HC10" s="37"/>
      <c r="HD10" s="37"/>
      <c r="HE10" s="37"/>
      <c r="HF10" s="37"/>
      <c r="HG10" s="37"/>
      <c r="HH10" s="37"/>
      <c r="HI10" s="37"/>
      <c r="HJ10" s="37"/>
      <c r="HK10" s="37"/>
      <c r="HL10" s="37"/>
      <c r="HM10" s="37"/>
      <c r="HN10" s="37"/>
      <c r="HO10" s="37"/>
      <c r="HP10" s="37"/>
      <c r="HQ10" s="37"/>
    </row>
    <row r="11" spans="1:225" s="38" customFormat="1">
      <c r="A11" s="37"/>
      <c r="B11" s="37"/>
      <c r="C11" s="37">
        <v>6</v>
      </c>
      <c r="D11" s="37"/>
      <c r="E11" s="33" t="s">
        <v>526</v>
      </c>
      <c r="F11" s="33"/>
      <c r="G11" s="183"/>
      <c r="H11" s="172"/>
      <c r="I11" s="41" t="s">
        <v>335</v>
      </c>
      <c r="J11" s="41" t="s">
        <v>336</v>
      </c>
      <c r="K11" s="42" t="s">
        <v>337</v>
      </c>
      <c r="L11" s="42" t="s">
        <v>338</v>
      </c>
      <c r="M11" s="42" t="s">
        <v>339</v>
      </c>
      <c r="N11" s="42"/>
      <c r="O11" s="42"/>
      <c r="P11" s="42"/>
      <c r="Q11" s="42"/>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7"/>
      <c r="CY11" s="37"/>
      <c r="CZ11" s="37"/>
      <c r="DA11" s="37"/>
      <c r="DB11" s="37"/>
      <c r="DC11" s="37"/>
      <c r="DD11" s="37"/>
      <c r="DE11" s="37"/>
      <c r="DF11" s="37"/>
      <c r="DG11" s="37"/>
      <c r="DH11" s="37"/>
      <c r="DI11" s="37"/>
      <c r="DJ11" s="37"/>
      <c r="DK11" s="37"/>
      <c r="DL11" s="37"/>
      <c r="DM11" s="37"/>
      <c r="DN11" s="37"/>
      <c r="DO11" s="37"/>
      <c r="DP11" s="37"/>
      <c r="DQ11" s="37"/>
      <c r="DR11" s="37"/>
      <c r="DS11" s="37"/>
      <c r="DT11" s="37"/>
      <c r="DU11" s="37"/>
      <c r="DV11" s="37"/>
      <c r="DW11" s="37"/>
      <c r="DX11" s="37"/>
      <c r="DY11" s="37"/>
      <c r="DZ11" s="37"/>
      <c r="EA11" s="37"/>
      <c r="EB11" s="37"/>
      <c r="EC11" s="37"/>
      <c r="ED11" s="37"/>
      <c r="EE11" s="37"/>
      <c r="EF11" s="37"/>
      <c r="EG11" s="37"/>
      <c r="EH11" s="37"/>
      <c r="EI11" s="37"/>
      <c r="EJ11" s="37"/>
      <c r="EK11" s="37"/>
      <c r="EL11" s="37"/>
      <c r="EM11" s="37"/>
      <c r="EN11" s="37"/>
      <c r="EO11" s="37"/>
      <c r="EP11" s="37"/>
      <c r="EQ11" s="37"/>
      <c r="ER11" s="37"/>
      <c r="ES11" s="37"/>
      <c r="ET11" s="37"/>
      <c r="EU11" s="37"/>
      <c r="EV11" s="37"/>
      <c r="EW11" s="37"/>
      <c r="EX11" s="37"/>
      <c r="EY11" s="37"/>
      <c r="EZ11" s="37"/>
      <c r="FA11" s="37"/>
      <c r="FB11" s="37"/>
      <c r="FC11" s="37"/>
      <c r="FD11" s="37"/>
      <c r="FE11" s="37"/>
      <c r="FF11" s="37"/>
      <c r="FG11" s="37"/>
      <c r="FH11" s="37"/>
      <c r="FI11" s="37"/>
      <c r="FJ11" s="37"/>
      <c r="FK11" s="37"/>
      <c r="FL11" s="37"/>
      <c r="FM11" s="37"/>
      <c r="FN11" s="37"/>
      <c r="FO11" s="37"/>
      <c r="FP11" s="37"/>
      <c r="FQ11" s="37"/>
      <c r="FR11" s="37"/>
      <c r="FS11" s="37"/>
      <c r="FT11" s="37"/>
      <c r="FU11" s="37"/>
      <c r="FV11" s="37"/>
      <c r="FW11" s="37"/>
      <c r="FX11" s="37"/>
      <c r="FY11" s="37"/>
      <c r="FZ11" s="37"/>
      <c r="GA11" s="37"/>
      <c r="GB11" s="37"/>
      <c r="GC11" s="37"/>
      <c r="GD11" s="37"/>
      <c r="GE11" s="37"/>
      <c r="GF11" s="37"/>
      <c r="GG11" s="37"/>
      <c r="GH11" s="37"/>
      <c r="GI11" s="37"/>
      <c r="GJ11" s="37"/>
      <c r="GK11" s="37"/>
      <c r="GL11" s="37"/>
      <c r="GM11" s="37"/>
      <c r="GN11" s="37"/>
      <c r="GO11" s="37"/>
      <c r="GP11" s="37"/>
      <c r="GQ11" s="37"/>
      <c r="GR11" s="37"/>
      <c r="GS11" s="37"/>
      <c r="GT11" s="37"/>
      <c r="GU11" s="37"/>
      <c r="GV11" s="37"/>
      <c r="GW11" s="37"/>
      <c r="GX11" s="37"/>
      <c r="GY11" s="37"/>
      <c r="GZ11" s="37"/>
      <c r="HA11" s="37"/>
      <c r="HB11" s="37"/>
      <c r="HC11" s="37"/>
      <c r="HD11" s="37"/>
      <c r="HE11" s="37"/>
      <c r="HF11" s="37"/>
      <c r="HG11" s="37"/>
      <c r="HH11" s="37"/>
      <c r="HI11" s="37"/>
      <c r="HJ11" s="37"/>
      <c r="HK11" s="37"/>
      <c r="HL11" s="37"/>
      <c r="HM11" s="37"/>
      <c r="HN11" s="37"/>
      <c r="HO11" s="37"/>
      <c r="HP11" s="37"/>
      <c r="HQ11" s="37"/>
    </row>
    <row r="12" spans="1:225" s="38" customFormat="1">
      <c r="A12" s="37"/>
      <c r="B12" s="37"/>
      <c r="C12" s="37">
        <v>6</v>
      </c>
      <c r="D12" s="37"/>
      <c r="E12" s="33" t="s">
        <v>527</v>
      </c>
      <c r="F12" s="33"/>
      <c r="G12" s="183"/>
      <c r="H12" s="172"/>
      <c r="I12" s="41" t="s">
        <v>335</v>
      </c>
      <c r="J12" s="41" t="s">
        <v>336</v>
      </c>
      <c r="K12" s="42" t="s">
        <v>337</v>
      </c>
      <c r="L12" s="42" t="s">
        <v>338</v>
      </c>
      <c r="M12" s="42" t="s">
        <v>339</v>
      </c>
      <c r="N12" s="42"/>
      <c r="O12" s="42"/>
      <c r="P12" s="42"/>
      <c r="Q12" s="42"/>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c r="FC12" s="37"/>
      <c r="FD12" s="37"/>
      <c r="FE12" s="37"/>
      <c r="FF12" s="37"/>
      <c r="FG12" s="37"/>
      <c r="FH12" s="37"/>
      <c r="FI12" s="37"/>
      <c r="FJ12" s="37"/>
      <c r="FK12" s="37"/>
      <c r="FL12" s="37"/>
      <c r="FM12" s="37"/>
      <c r="FN12" s="37"/>
      <c r="FO12" s="37"/>
      <c r="FP12" s="37"/>
      <c r="FQ12" s="37"/>
      <c r="FR12" s="37"/>
      <c r="FS12" s="37"/>
      <c r="FT12" s="37"/>
      <c r="FU12" s="37"/>
      <c r="FV12" s="37"/>
      <c r="FW12" s="37"/>
      <c r="FX12" s="37"/>
      <c r="FY12" s="37"/>
      <c r="FZ12" s="37"/>
      <c r="GA12" s="37"/>
      <c r="GB12" s="37"/>
      <c r="GC12" s="37"/>
      <c r="GD12" s="37"/>
      <c r="GE12" s="37"/>
      <c r="GF12" s="37"/>
      <c r="GG12" s="37"/>
      <c r="GH12" s="37"/>
      <c r="GI12" s="37"/>
      <c r="GJ12" s="37"/>
      <c r="GK12" s="37"/>
      <c r="GL12" s="37"/>
      <c r="GM12" s="37"/>
      <c r="GN12" s="37"/>
      <c r="GO12" s="37"/>
      <c r="GP12" s="37"/>
      <c r="GQ12" s="37"/>
      <c r="GR12" s="37"/>
      <c r="GS12" s="37"/>
      <c r="GT12" s="37"/>
      <c r="GU12" s="37"/>
      <c r="GV12" s="37"/>
      <c r="GW12" s="37"/>
      <c r="GX12" s="37"/>
      <c r="GY12" s="37"/>
      <c r="GZ12" s="37"/>
      <c r="HA12" s="37"/>
      <c r="HB12" s="37"/>
      <c r="HC12" s="37"/>
      <c r="HD12" s="37"/>
      <c r="HE12" s="37"/>
      <c r="HF12" s="37"/>
      <c r="HG12" s="37"/>
      <c r="HH12" s="37"/>
      <c r="HI12" s="37"/>
      <c r="HJ12" s="37"/>
      <c r="HK12" s="37"/>
      <c r="HL12" s="37"/>
      <c r="HM12" s="37"/>
      <c r="HN12" s="37"/>
      <c r="HO12" s="37"/>
      <c r="HP12" s="37"/>
      <c r="HQ12" s="37"/>
    </row>
    <row r="13" spans="1:225" s="38" customFormat="1">
      <c r="A13" s="37"/>
      <c r="B13" s="37"/>
      <c r="C13" s="37">
        <v>6</v>
      </c>
      <c r="D13" s="37"/>
      <c r="E13" s="33" t="s">
        <v>528</v>
      </c>
      <c r="F13" s="33"/>
      <c r="G13" s="183"/>
      <c r="H13" s="172"/>
      <c r="I13" s="41" t="s">
        <v>335</v>
      </c>
      <c r="J13" s="41" t="s">
        <v>336</v>
      </c>
      <c r="K13" s="42" t="s">
        <v>337</v>
      </c>
      <c r="L13" s="42" t="s">
        <v>338</v>
      </c>
      <c r="M13" s="42" t="s">
        <v>339</v>
      </c>
      <c r="N13" s="42"/>
      <c r="O13" s="42"/>
      <c r="P13" s="42"/>
      <c r="Q13" s="42"/>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DA13" s="37"/>
      <c r="DB13" s="37"/>
      <c r="DC13" s="37"/>
      <c r="DD13" s="37"/>
      <c r="DE13" s="37"/>
      <c r="DF13" s="37"/>
      <c r="DG13" s="37"/>
      <c r="DH13" s="37"/>
      <c r="DI13" s="37"/>
      <c r="DJ13" s="37"/>
      <c r="DK13" s="37"/>
      <c r="DL13" s="37"/>
      <c r="DM13" s="37"/>
      <c r="DN13" s="37"/>
      <c r="DO13" s="37"/>
      <c r="DP13" s="37"/>
      <c r="DQ13" s="37"/>
      <c r="DR13" s="37"/>
      <c r="DS13" s="37"/>
      <c r="DT13" s="37"/>
      <c r="DU13" s="37"/>
      <c r="DV13" s="37"/>
      <c r="DW13" s="37"/>
      <c r="DX13" s="37"/>
      <c r="DY13" s="37"/>
      <c r="DZ13" s="37"/>
      <c r="EA13" s="37"/>
      <c r="EB13" s="37"/>
      <c r="EC13" s="37"/>
      <c r="ED13" s="37"/>
      <c r="EE13" s="37"/>
      <c r="EF13" s="37"/>
      <c r="EG13" s="37"/>
      <c r="EH13" s="37"/>
      <c r="EI13" s="37"/>
      <c r="EJ13" s="37"/>
      <c r="EK13" s="37"/>
      <c r="EL13" s="37"/>
      <c r="EM13" s="37"/>
      <c r="EN13" s="37"/>
      <c r="EO13" s="37"/>
      <c r="EP13" s="37"/>
      <c r="EQ13" s="37"/>
      <c r="ER13" s="37"/>
      <c r="ES13" s="37"/>
      <c r="ET13" s="37"/>
      <c r="EU13" s="37"/>
      <c r="EV13" s="37"/>
      <c r="EW13" s="37"/>
      <c r="EX13" s="37"/>
      <c r="EY13" s="37"/>
      <c r="EZ13" s="37"/>
      <c r="FA13" s="37"/>
      <c r="FB13" s="37"/>
      <c r="FC13" s="37"/>
      <c r="FD13" s="37"/>
      <c r="FE13" s="37"/>
      <c r="FF13" s="37"/>
      <c r="FG13" s="37"/>
      <c r="FH13" s="37"/>
      <c r="FI13" s="37"/>
      <c r="FJ13" s="37"/>
      <c r="FK13" s="37"/>
      <c r="FL13" s="37"/>
      <c r="FM13" s="37"/>
      <c r="FN13" s="37"/>
      <c r="FO13" s="37"/>
      <c r="FP13" s="37"/>
      <c r="FQ13" s="37"/>
      <c r="FR13" s="37"/>
      <c r="FS13" s="37"/>
      <c r="FT13" s="37"/>
      <c r="FU13" s="37"/>
      <c r="FV13" s="37"/>
      <c r="FW13" s="37"/>
      <c r="FX13" s="37"/>
      <c r="FY13" s="37"/>
      <c r="FZ13" s="37"/>
      <c r="GA13" s="37"/>
      <c r="GB13" s="37"/>
      <c r="GC13" s="37"/>
      <c r="GD13" s="37"/>
      <c r="GE13" s="37"/>
      <c r="GF13" s="37"/>
      <c r="GG13" s="37"/>
      <c r="GH13" s="37"/>
      <c r="GI13" s="37"/>
      <c r="GJ13" s="37"/>
      <c r="GK13" s="37"/>
      <c r="GL13" s="37"/>
      <c r="GM13" s="37"/>
      <c r="GN13" s="37"/>
      <c r="GO13" s="37"/>
      <c r="GP13" s="37"/>
      <c r="GQ13" s="37"/>
      <c r="GR13" s="37"/>
      <c r="GS13" s="37"/>
      <c r="GT13" s="37"/>
      <c r="GU13" s="37"/>
      <c r="GV13" s="37"/>
      <c r="GW13" s="37"/>
      <c r="GX13" s="37"/>
      <c r="GY13" s="37"/>
      <c r="GZ13" s="37"/>
      <c r="HA13" s="37"/>
      <c r="HB13" s="37"/>
      <c r="HC13" s="37"/>
      <c r="HD13" s="37"/>
      <c r="HE13" s="37"/>
      <c r="HF13" s="37"/>
      <c r="HG13" s="37"/>
      <c r="HH13" s="37"/>
      <c r="HI13" s="37"/>
      <c r="HJ13" s="37"/>
      <c r="HK13" s="37"/>
      <c r="HL13" s="37"/>
      <c r="HM13" s="37"/>
      <c r="HN13" s="37"/>
      <c r="HO13" s="37"/>
      <c r="HP13" s="37"/>
      <c r="HQ13" s="37"/>
    </row>
    <row r="14" spans="1:225" s="37" customFormat="1" ht="21">
      <c r="H14" s="172"/>
    </row>
    <row r="15" spans="1:225" s="38" customFormat="1">
      <c r="A15" s="37"/>
      <c r="B15" s="37"/>
      <c r="C15" s="37">
        <v>7</v>
      </c>
      <c r="D15" s="37"/>
      <c r="E15" s="33" t="s">
        <v>340</v>
      </c>
      <c r="F15" s="33"/>
      <c r="G15" s="183"/>
      <c r="H15" s="172"/>
      <c r="I15" s="41" t="s">
        <v>7</v>
      </c>
      <c r="J15" s="41" t="s">
        <v>9</v>
      </c>
      <c r="K15" s="42"/>
      <c r="L15" s="42"/>
      <c r="M15" s="42"/>
      <c r="N15" s="42"/>
      <c r="O15" s="42"/>
      <c r="P15" s="42"/>
      <c r="Q15" s="42"/>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DA15" s="37"/>
      <c r="DB15" s="37"/>
      <c r="DC15" s="37"/>
      <c r="DD15" s="37"/>
      <c r="DE15" s="37"/>
      <c r="DF15" s="37"/>
      <c r="DG15" s="37"/>
      <c r="DH15" s="37"/>
      <c r="DI15" s="37"/>
      <c r="DJ15" s="37"/>
      <c r="DK15" s="37"/>
      <c r="DL15" s="37"/>
      <c r="DM15" s="37"/>
      <c r="DN15" s="37"/>
      <c r="DO15" s="37"/>
      <c r="DP15" s="37"/>
      <c r="DQ15" s="37"/>
      <c r="DR15" s="37"/>
      <c r="DS15" s="37"/>
      <c r="DT15" s="37"/>
      <c r="DU15" s="37"/>
      <c r="DV15" s="37"/>
      <c r="DW15" s="37"/>
      <c r="DX15" s="37"/>
      <c r="DY15" s="37"/>
      <c r="DZ15" s="37"/>
      <c r="EA15" s="37"/>
      <c r="EB15" s="37"/>
      <c r="EC15" s="37"/>
      <c r="ED15" s="37"/>
      <c r="EE15" s="37"/>
      <c r="EF15" s="37"/>
      <c r="EG15" s="37"/>
      <c r="EH15" s="37"/>
      <c r="EI15" s="37"/>
      <c r="EJ15" s="37"/>
      <c r="EK15" s="37"/>
      <c r="EL15" s="37"/>
      <c r="EM15" s="37"/>
      <c r="EN15" s="37"/>
      <c r="EO15" s="37"/>
      <c r="EP15" s="37"/>
      <c r="EQ15" s="37"/>
      <c r="ER15" s="37"/>
      <c r="ES15" s="37"/>
      <c r="ET15" s="37"/>
      <c r="EU15" s="37"/>
      <c r="EV15" s="37"/>
      <c r="EW15" s="37"/>
      <c r="EX15" s="37"/>
      <c r="EY15" s="37"/>
      <c r="EZ15" s="37"/>
      <c r="FA15" s="37"/>
      <c r="FB15" s="37"/>
      <c r="FC15" s="37"/>
      <c r="FD15" s="37"/>
      <c r="FE15" s="37"/>
      <c r="FF15" s="37"/>
      <c r="FG15" s="37"/>
      <c r="FH15" s="37"/>
      <c r="FI15" s="37"/>
      <c r="FJ15" s="37"/>
      <c r="FK15" s="37"/>
      <c r="FL15" s="37"/>
      <c r="FM15" s="37"/>
      <c r="FN15" s="37"/>
      <c r="FO15" s="37"/>
      <c r="FP15" s="37"/>
      <c r="FQ15" s="37"/>
      <c r="FR15" s="37"/>
      <c r="FS15" s="37"/>
      <c r="FT15" s="37"/>
      <c r="FU15" s="37"/>
      <c r="FV15" s="37"/>
      <c r="FW15" s="37"/>
      <c r="FX15" s="37"/>
      <c r="FY15" s="37"/>
      <c r="FZ15" s="37"/>
      <c r="GA15" s="37"/>
      <c r="GB15" s="37"/>
      <c r="GC15" s="37"/>
      <c r="GD15" s="37"/>
      <c r="GE15" s="37"/>
      <c r="GF15" s="37"/>
      <c r="GG15" s="37"/>
      <c r="GH15" s="37"/>
      <c r="GI15" s="37"/>
      <c r="GJ15" s="37"/>
      <c r="GK15" s="37"/>
      <c r="GL15" s="37"/>
      <c r="GM15" s="37"/>
      <c r="GN15" s="37"/>
      <c r="GO15" s="37"/>
      <c r="GP15" s="37"/>
      <c r="GQ15" s="37"/>
      <c r="GR15" s="37"/>
      <c r="GS15" s="37"/>
      <c r="GT15" s="37"/>
      <c r="GU15" s="37"/>
      <c r="GV15" s="37"/>
      <c r="GW15" s="37"/>
      <c r="GX15" s="37"/>
      <c r="GY15" s="37"/>
      <c r="GZ15" s="37"/>
      <c r="HA15" s="37"/>
      <c r="HB15" s="37"/>
      <c r="HC15" s="37"/>
      <c r="HD15" s="37"/>
      <c r="HE15" s="37"/>
      <c r="HF15" s="37"/>
      <c r="HG15" s="37"/>
      <c r="HH15" s="37"/>
      <c r="HI15" s="37"/>
      <c r="HJ15" s="37"/>
      <c r="HK15" s="37"/>
      <c r="HL15" s="37"/>
      <c r="HM15" s="37"/>
      <c r="HN15" s="37"/>
      <c r="HO15" s="37"/>
      <c r="HP15" s="37"/>
      <c r="HQ15" s="37"/>
    </row>
    <row r="16" spans="1:225" s="38" customFormat="1">
      <c r="A16" s="37"/>
      <c r="B16" s="37"/>
      <c r="C16" s="37">
        <v>8</v>
      </c>
      <c r="D16" s="37"/>
      <c r="E16" s="33" t="s">
        <v>360</v>
      </c>
      <c r="F16" s="33"/>
      <c r="G16" s="183"/>
      <c r="H16" s="172"/>
      <c r="I16" s="41" t="s">
        <v>7</v>
      </c>
      <c r="J16" s="41" t="s">
        <v>9</v>
      </c>
      <c r="K16" s="42"/>
      <c r="L16" s="42"/>
      <c r="M16" s="42"/>
      <c r="N16" s="42"/>
      <c r="O16" s="42"/>
      <c r="P16" s="42"/>
      <c r="Q16" s="42"/>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c r="BU16" s="37"/>
      <c r="BV16" s="37"/>
      <c r="BW16" s="37"/>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7"/>
      <c r="CY16" s="37"/>
      <c r="CZ16" s="37"/>
      <c r="DA16" s="37"/>
      <c r="DB16" s="37"/>
      <c r="DC16" s="37"/>
      <c r="DD16" s="37"/>
      <c r="DE16" s="37"/>
      <c r="DF16" s="37"/>
      <c r="DG16" s="37"/>
      <c r="DH16" s="37"/>
      <c r="DI16" s="37"/>
      <c r="DJ16" s="37"/>
      <c r="DK16" s="37"/>
      <c r="DL16" s="37"/>
      <c r="DM16" s="37"/>
      <c r="DN16" s="37"/>
      <c r="DO16" s="37"/>
      <c r="DP16" s="37"/>
      <c r="DQ16" s="37"/>
      <c r="DR16" s="37"/>
      <c r="DS16" s="37"/>
      <c r="DT16" s="37"/>
      <c r="DU16" s="37"/>
      <c r="DV16" s="37"/>
      <c r="DW16" s="37"/>
      <c r="DX16" s="37"/>
      <c r="DY16" s="37"/>
      <c r="DZ16" s="37"/>
      <c r="EA16" s="37"/>
      <c r="EB16" s="37"/>
      <c r="EC16" s="37"/>
      <c r="ED16" s="37"/>
      <c r="EE16" s="37"/>
      <c r="EF16" s="37"/>
      <c r="EG16" s="37"/>
      <c r="EH16" s="37"/>
      <c r="EI16" s="37"/>
      <c r="EJ16" s="37"/>
      <c r="EK16" s="37"/>
      <c r="EL16" s="37"/>
      <c r="EM16" s="37"/>
      <c r="EN16" s="37"/>
      <c r="EO16" s="37"/>
      <c r="EP16" s="37"/>
      <c r="EQ16" s="37"/>
      <c r="ER16" s="37"/>
      <c r="ES16" s="37"/>
      <c r="ET16" s="37"/>
      <c r="EU16" s="37"/>
      <c r="EV16" s="37"/>
      <c r="EW16" s="37"/>
      <c r="EX16" s="37"/>
      <c r="EY16" s="37"/>
      <c r="EZ16" s="37"/>
      <c r="FA16" s="37"/>
      <c r="FB16" s="37"/>
      <c r="FC16" s="37"/>
      <c r="FD16" s="37"/>
      <c r="FE16" s="37"/>
      <c r="FF16" s="37"/>
      <c r="FG16" s="37"/>
      <c r="FH16" s="37"/>
      <c r="FI16" s="37"/>
      <c r="FJ16" s="37"/>
      <c r="FK16" s="37"/>
      <c r="FL16" s="37"/>
      <c r="FM16" s="37"/>
      <c r="FN16" s="37"/>
      <c r="FO16" s="37"/>
      <c r="FP16" s="37"/>
      <c r="FQ16" s="37"/>
      <c r="FR16" s="37"/>
      <c r="FS16" s="37"/>
      <c r="FT16" s="37"/>
      <c r="FU16" s="37"/>
      <c r="FV16" s="37"/>
      <c r="FW16" s="37"/>
      <c r="FX16" s="37"/>
      <c r="FY16" s="37"/>
      <c r="FZ16" s="37"/>
      <c r="GA16" s="37"/>
      <c r="GB16" s="37"/>
      <c r="GC16" s="37"/>
      <c r="GD16" s="37"/>
      <c r="GE16" s="37"/>
      <c r="GF16" s="37"/>
      <c r="GG16" s="37"/>
      <c r="GH16" s="37"/>
      <c r="GI16" s="37"/>
      <c r="GJ16" s="37"/>
      <c r="GK16" s="37"/>
      <c r="GL16" s="37"/>
      <c r="GM16" s="37"/>
      <c r="GN16" s="37"/>
      <c r="GO16" s="37"/>
      <c r="GP16" s="37"/>
      <c r="GQ16" s="37"/>
      <c r="GR16" s="37"/>
      <c r="GS16" s="37"/>
      <c r="GT16" s="37"/>
      <c r="GU16" s="37"/>
      <c r="GV16" s="37"/>
      <c r="GW16" s="37"/>
      <c r="GX16" s="37"/>
      <c r="GY16" s="37"/>
      <c r="GZ16" s="37"/>
      <c r="HA16" s="37"/>
      <c r="HB16" s="37"/>
      <c r="HC16" s="37"/>
      <c r="HD16" s="37"/>
      <c r="HE16" s="37"/>
      <c r="HF16" s="37"/>
      <c r="HG16" s="37"/>
      <c r="HH16" s="37"/>
      <c r="HI16" s="37"/>
      <c r="HJ16" s="37"/>
      <c r="HK16" s="37"/>
      <c r="HL16" s="37"/>
      <c r="HM16" s="37"/>
      <c r="HN16" s="37"/>
      <c r="HO16" s="37"/>
      <c r="HP16" s="37"/>
      <c r="HQ16" s="37"/>
    </row>
    <row r="17" spans="1:225" s="38" customFormat="1">
      <c r="A17" s="37"/>
      <c r="B17" s="37"/>
      <c r="C17" s="37">
        <v>9</v>
      </c>
      <c r="D17" s="37"/>
      <c r="E17" s="33" t="s">
        <v>352</v>
      </c>
      <c r="F17" s="33"/>
      <c r="G17" s="183"/>
      <c r="H17" s="172"/>
      <c r="I17" s="41" t="s">
        <v>7</v>
      </c>
      <c r="J17" s="41" t="s">
        <v>9</v>
      </c>
      <c r="K17" s="42"/>
      <c r="L17" s="42"/>
      <c r="M17" s="42"/>
      <c r="N17" s="42"/>
      <c r="O17" s="42"/>
      <c r="P17" s="42"/>
      <c r="Q17" s="42"/>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c r="BU17" s="37"/>
      <c r="BV17" s="37"/>
      <c r="BW17" s="37"/>
      <c r="BX17" s="37"/>
      <c r="BY17" s="37"/>
      <c r="BZ17" s="37"/>
      <c r="CA17" s="37"/>
      <c r="CB17" s="37"/>
      <c r="CC17" s="37"/>
      <c r="CD17" s="37"/>
      <c r="CE17" s="37"/>
      <c r="CF17" s="37"/>
      <c r="CG17" s="37"/>
      <c r="CH17" s="37"/>
      <c r="CI17" s="37"/>
      <c r="CJ17" s="37"/>
      <c r="CK17" s="37"/>
      <c r="CL17" s="37"/>
      <c r="CM17" s="37"/>
      <c r="CN17" s="37"/>
      <c r="CO17" s="37"/>
      <c r="CP17" s="37"/>
      <c r="CQ17" s="37"/>
      <c r="CR17" s="37"/>
      <c r="CS17" s="37"/>
      <c r="CT17" s="37"/>
      <c r="CU17" s="37"/>
      <c r="CV17" s="37"/>
      <c r="CW17" s="37"/>
      <c r="CX17" s="37"/>
      <c r="CY17" s="37"/>
      <c r="CZ17" s="37"/>
      <c r="DA17" s="37"/>
      <c r="DB17" s="37"/>
      <c r="DC17" s="37"/>
      <c r="DD17" s="37"/>
      <c r="DE17" s="37"/>
      <c r="DF17" s="37"/>
      <c r="DG17" s="37"/>
      <c r="DH17" s="37"/>
      <c r="DI17" s="37"/>
      <c r="DJ17" s="37"/>
      <c r="DK17" s="37"/>
      <c r="DL17" s="37"/>
      <c r="DM17" s="37"/>
      <c r="DN17" s="37"/>
      <c r="DO17" s="37"/>
      <c r="DP17" s="37"/>
      <c r="DQ17" s="37"/>
      <c r="DR17" s="37"/>
      <c r="DS17" s="37"/>
      <c r="DT17" s="37"/>
      <c r="DU17" s="37"/>
      <c r="DV17" s="37"/>
      <c r="DW17" s="37"/>
      <c r="DX17" s="37"/>
      <c r="DY17" s="37"/>
      <c r="DZ17" s="37"/>
      <c r="EA17" s="37"/>
      <c r="EB17" s="37"/>
      <c r="EC17" s="37"/>
      <c r="ED17" s="37"/>
      <c r="EE17" s="37"/>
      <c r="EF17" s="37"/>
      <c r="EG17" s="37"/>
      <c r="EH17" s="37"/>
      <c r="EI17" s="37"/>
      <c r="EJ17" s="37"/>
      <c r="EK17" s="37"/>
      <c r="EL17" s="37"/>
      <c r="EM17" s="37"/>
      <c r="EN17" s="37"/>
      <c r="EO17" s="37"/>
      <c r="EP17" s="37"/>
      <c r="EQ17" s="37"/>
      <c r="ER17" s="37"/>
      <c r="ES17" s="37"/>
      <c r="ET17" s="37"/>
      <c r="EU17" s="37"/>
      <c r="EV17" s="37"/>
      <c r="EW17" s="37"/>
      <c r="EX17" s="37"/>
      <c r="EY17" s="37"/>
      <c r="EZ17" s="37"/>
      <c r="FA17" s="37"/>
      <c r="FB17" s="37"/>
      <c r="FC17" s="37"/>
      <c r="FD17" s="37"/>
      <c r="FE17" s="37"/>
      <c r="FF17" s="37"/>
      <c r="FG17" s="37"/>
      <c r="FH17" s="37"/>
      <c r="FI17" s="37"/>
      <c r="FJ17" s="37"/>
      <c r="FK17" s="37"/>
      <c r="FL17" s="37"/>
      <c r="FM17" s="37"/>
      <c r="FN17" s="37"/>
      <c r="FO17" s="37"/>
      <c r="FP17" s="37"/>
      <c r="FQ17" s="37"/>
      <c r="FR17" s="37"/>
      <c r="FS17" s="37"/>
      <c r="FT17" s="37"/>
      <c r="FU17" s="37"/>
      <c r="FV17" s="37"/>
      <c r="FW17" s="37"/>
      <c r="FX17" s="37"/>
      <c r="FY17" s="37"/>
      <c r="FZ17" s="37"/>
      <c r="GA17" s="37"/>
      <c r="GB17" s="37"/>
      <c r="GC17" s="37"/>
      <c r="GD17" s="37"/>
      <c r="GE17" s="37"/>
      <c r="GF17" s="37"/>
      <c r="GG17" s="37"/>
      <c r="GH17" s="37"/>
      <c r="GI17" s="37"/>
      <c r="GJ17" s="37"/>
      <c r="GK17" s="37"/>
      <c r="GL17" s="37"/>
      <c r="GM17" s="37"/>
      <c r="GN17" s="37"/>
      <c r="GO17" s="37"/>
      <c r="GP17" s="37"/>
      <c r="GQ17" s="37"/>
      <c r="GR17" s="37"/>
      <c r="GS17" s="37"/>
      <c r="GT17" s="37"/>
      <c r="GU17" s="37"/>
      <c r="GV17" s="37"/>
      <c r="GW17" s="37"/>
      <c r="GX17" s="37"/>
      <c r="GY17" s="37"/>
      <c r="GZ17" s="37"/>
      <c r="HA17" s="37"/>
      <c r="HB17" s="37"/>
      <c r="HC17" s="37"/>
      <c r="HD17" s="37"/>
      <c r="HE17" s="37"/>
      <c r="HF17" s="37"/>
      <c r="HG17" s="37"/>
      <c r="HH17" s="37"/>
      <c r="HI17" s="37"/>
      <c r="HJ17" s="37"/>
      <c r="HK17" s="37"/>
      <c r="HL17" s="37"/>
      <c r="HM17" s="37"/>
      <c r="HN17" s="37"/>
      <c r="HO17" s="37"/>
      <c r="HP17" s="37"/>
      <c r="HQ17" s="37"/>
    </row>
    <row r="18" spans="1:225" s="38" customFormat="1">
      <c r="A18" s="37"/>
      <c r="B18" s="37"/>
      <c r="C18" s="37"/>
      <c r="D18" s="37"/>
      <c r="E18" s="33"/>
      <c r="F18" s="33"/>
      <c r="G18" s="37"/>
      <c r="H18" s="172"/>
      <c r="I18" s="41"/>
      <c r="J18" s="41"/>
      <c r="K18" s="42"/>
      <c r="L18" s="42"/>
      <c r="M18" s="42"/>
      <c r="N18" s="42"/>
      <c r="O18" s="42"/>
      <c r="P18" s="42"/>
      <c r="Q18" s="42"/>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c r="BU18" s="37"/>
      <c r="BV18" s="37"/>
      <c r="BW18" s="37"/>
      <c r="BX18" s="37"/>
      <c r="BY18" s="37"/>
      <c r="BZ18" s="37"/>
      <c r="CA18" s="37"/>
      <c r="CB18" s="37"/>
      <c r="CC18" s="37"/>
      <c r="CD18" s="37"/>
      <c r="CE18" s="37"/>
      <c r="CF18" s="37"/>
      <c r="CG18" s="37"/>
      <c r="CH18" s="37"/>
      <c r="CI18" s="37"/>
      <c r="CJ18" s="37"/>
      <c r="CK18" s="37"/>
      <c r="CL18" s="37"/>
      <c r="CM18" s="37"/>
      <c r="CN18" s="37"/>
      <c r="CO18" s="37"/>
      <c r="CP18" s="37"/>
      <c r="CQ18" s="37"/>
      <c r="CR18" s="37"/>
      <c r="CS18" s="37"/>
      <c r="CT18" s="37"/>
      <c r="CU18" s="37"/>
      <c r="CV18" s="37"/>
      <c r="CW18" s="37"/>
      <c r="CX18" s="37"/>
      <c r="CY18" s="37"/>
      <c r="CZ18" s="37"/>
      <c r="DA18" s="37"/>
      <c r="DB18" s="37"/>
      <c r="DC18" s="37"/>
      <c r="DD18" s="37"/>
      <c r="DE18" s="37"/>
      <c r="DF18" s="37"/>
      <c r="DG18" s="37"/>
      <c r="DH18" s="37"/>
      <c r="DI18" s="37"/>
      <c r="DJ18" s="37"/>
      <c r="DK18" s="37"/>
      <c r="DL18" s="37"/>
      <c r="DM18" s="37"/>
      <c r="DN18" s="37"/>
      <c r="DO18" s="37"/>
      <c r="DP18" s="37"/>
      <c r="DQ18" s="37"/>
      <c r="DR18" s="37"/>
      <c r="DS18" s="37"/>
      <c r="DT18" s="37"/>
      <c r="DU18" s="37"/>
      <c r="DV18" s="37"/>
      <c r="DW18" s="37"/>
      <c r="DX18" s="37"/>
      <c r="DY18" s="37"/>
      <c r="DZ18" s="37"/>
      <c r="EA18" s="37"/>
      <c r="EB18" s="37"/>
      <c r="EC18" s="37"/>
      <c r="ED18" s="37"/>
      <c r="EE18" s="37"/>
      <c r="EF18" s="37"/>
      <c r="EG18" s="37"/>
      <c r="EH18" s="37"/>
      <c r="EI18" s="37"/>
      <c r="EJ18" s="37"/>
      <c r="EK18" s="37"/>
      <c r="EL18" s="37"/>
      <c r="EM18" s="37"/>
      <c r="EN18" s="37"/>
      <c r="EO18" s="37"/>
      <c r="EP18" s="37"/>
      <c r="EQ18" s="37"/>
      <c r="ER18" s="37"/>
      <c r="ES18" s="37"/>
      <c r="ET18" s="37"/>
      <c r="EU18" s="37"/>
      <c r="EV18" s="37"/>
      <c r="EW18" s="37"/>
      <c r="EX18" s="37"/>
      <c r="EY18" s="37"/>
      <c r="EZ18" s="37"/>
      <c r="FA18" s="37"/>
      <c r="FB18" s="37"/>
      <c r="FC18" s="37"/>
      <c r="FD18" s="37"/>
      <c r="FE18" s="37"/>
      <c r="FF18" s="37"/>
      <c r="FG18" s="37"/>
      <c r="FH18" s="37"/>
      <c r="FI18" s="37"/>
      <c r="FJ18" s="37"/>
      <c r="FK18" s="37"/>
      <c r="FL18" s="37"/>
      <c r="FM18" s="37"/>
      <c r="FN18" s="37"/>
      <c r="FO18" s="37"/>
      <c r="FP18" s="37"/>
      <c r="FQ18" s="37"/>
      <c r="FR18" s="37"/>
      <c r="FS18" s="37"/>
      <c r="FT18" s="37"/>
      <c r="FU18" s="37"/>
      <c r="FV18" s="37"/>
      <c r="FW18" s="37"/>
      <c r="FX18" s="37"/>
      <c r="FY18" s="37"/>
      <c r="FZ18" s="37"/>
      <c r="GA18" s="37"/>
      <c r="GB18" s="37"/>
      <c r="GC18" s="37"/>
      <c r="GD18" s="37"/>
      <c r="GE18" s="37"/>
      <c r="GF18" s="37"/>
      <c r="GG18" s="37"/>
      <c r="GH18" s="37"/>
      <c r="GI18" s="37"/>
      <c r="GJ18" s="37"/>
      <c r="GK18" s="37"/>
      <c r="GL18" s="37"/>
      <c r="GM18" s="37"/>
      <c r="GN18" s="37"/>
      <c r="GO18" s="37"/>
      <c r="GP18" s="37"/>
      <c r="GQ18" s="37"/>
      <c r="GR18" s="37"/>
      <c r="GS18" s="37"/>
      <c r="GT18" s="37"/>
      <c r="GU18" s="37"/>
      <c r="GV18" s="37"/>
      <c r="GW18" s="37"/>
      <c r="GX18" s="37"/>
      <c r="GY18" s="37"/>
      <c r="GZ18" s="37"/>
      <c r="HA18" s="37"/>
      <c r="HB18" s="37"/>
      <c r="HC18" s="37"/>
      <c r="HD18" s="37"/>
      <c r="HE18" s="37"/>
      <c r="HF18" s="37"/>
      <c r="HG18" s="37"/>
      <c r="HH18" s="37"/>
      <c r="HI18" s="37"/>
      <c r="HJ18" s="37"/>
      <c r="HK18" s="37"/>
      <c r="HL18" s="37"/>
      <c r="HM18" s="37"/>
      <c r="HN18" s="37"/>
      <c r="HO18" s="37"/>
      <c r="HP18" s="37"/>
      <c r="HQ18" s="37"/>
    </row>
    <row r="19" spans="1:225" s="37" customFormat="1">
      <c r="C19" s="37">
        <v>10</v>
      </c>
      <c r="E19" s="33" t="s">
        <v>353</v>
      </c>
      <c r="F19" s="33"/>
      <c r="G19" s="43" t="s">
        <v>361</v>
      </c>
      <c r="H19" s="172"/>
      <c r="I19" s="41"/>
      <c r="J19" s="41"/>
      <c r="K19" s="42"/>
      <c r="L19" s="42"/>
      <c r="M19" s="42"/>
      <c r="N19" s="42"/>
      <c r="O19" s="42"/>
      <c r="P19" s="42"/>
      <c r="Q19" s="42"/>
    </row>
    <row r="20" spans="1:225" s="37" customFormat="1">
      <c r="E20" s="39" t="s">
        <v>354</v>
      </c>
      <c r="G20" s="183"/>
      <c r="H20" s="172"/>
      <c r="I20" s="41"/>
      <c r="J20" s="41"/>
      <c r="K20" s="42"/>
      <c r="L20" s="42"/>
      <c r="M20" s="42"/>
      <c r="N20" s="42"/>
      <c r="O20" s="42"/>
      <c r="P20" s="42"/>
      <c r="Q20" s="42"/>
    </row>
    <row r="21" spans="1:225" s="37" customFormat="1">
      <c r="E21" s="39" t="s">
        <v>355</v>
      </c>
      <c r="G21" s="183"/>
      <c r="H21" s="172"/>
      <c r="I21" s="41"/>
      <c r="J21" s="41"/>
      <c r="K21" s="42"/>
      <c r="L21" s="42"/>
      <c r="M21" s="42"/>
      <c r="N21" s="42"/>
      <c r="O21" s="42"/>
      <c r="P21" s="42"/>
      <c r="Q21" s="42"/>
    </row>
    <row r="22" spans="1:225" s="37" customFormat="1">
      <c r="E22" s="39" t="s">
        <v>356</v>
      </c>
      <c r="G22" s="183"/>
      <c r="H22" s="172"/>
      <c r="I22" s="41"/>
      <c r="J22" s="41"/>
      <c r="K22" s="42"/>
      <c r="L22" s="42"/>
      <c r="M22" s="42"/>
      <c r="N22" s="42"/>
      <c r="O22" s="42"/>
      <c r="P22" s="42"/>
      <c r="Q22" s="42"/>
    </row>
    <row r="23" spans="1:225" s="37" customFormat="1">
      <c r="H23" s="172"/>
      <c r="I23" s="41"/>
      <c r="J23" s="41"/>
      <c r="K23" s="42"/>
      <c r="L23" s="42"/>
      <c r="M23" s="42"/>
      <c r="N23" s="42"/>
      <c r="O23" s="42"/>
      <c r="P23" s="42"/>
      <c r="Q23" s="42"/>
    </row>
    <row r="24" spans="1:225" s="37" customFormat="1">
      <c r="C24" s="37">
        <v>11</v>
      </c>
      <c r="E24" s="33" t="s">
        <v>357</v>
      </c>
      <c r="F24" s="33"/>
      <c r="G24" s="43" t="s">
        <v>361</v>
      </c>
      <c r="H24" s="172"/>
      <c r="I24" s="41"/>
      <c r="J24" s="41"/>
      <c r="K24" s="42"/>
      <c r="L24" s="42"/>
      <c r="M24" s="42"/>
      <c r="N24" s="42"/>
      <c r="O24" s="42"/>
      <c r="P24" s="42"/>
      <c r="Q24" s="42"/>
    </row>
    <row r="25" spans="1:225" s="37" customFormat="1">
      <c r="E25" s="39" t="s">
        <v>358</v>
      </c>
      <c r="G25" s="183"/>
      <c r="H25" s="172"/>
      <c r="I25" s="41"/>
      <c r="J25" s="41"/>
      <c r="K25" s="42"/>
      <c r="L25" s="42"/>
      <c r="M25" s="42"/>
      <c r="N25" s="42"/>
      <c r="O25" s="42"/>
      <c r="P25" s="42"/>
      <c r="Q25" s="42"/>
    </row>
    <row r="26" spans="1:225" s="37" customFormat="1">
      <c r="E26" s="39" t="s">
        <v>359</v>
      </c>
      <c r="G26" s="183"/>
      <c r="H26" s="172"/>
      <c r="I26" s="41"/>
      <c r="J26" s="41"/>
      <c r="K26" s="42"/>
      <c r="L26" s="42"/>
      <c r="M26" s="42"/>
      <c r="N26" s="42"/>
      <c r="O26" s="42"/>
      <c r="P26" s="42"/>
      <c r="Q26" s="42"/>
    </row>
    <row r="27" spans="1:225" s="37" customFormat="1">
      <c r="G27" s="2"/>
      <c r="H27" s="172"/>
      <c r="I27" s="41"/>
      <c r="J27" s="41"/>
      <c r="K27" s="42"/>
      <c r="L27" s="42"/>
      <c r="M27" s="42"/>
      <c r="N27" s="42"/>
      <c r="O27" s="42"/>
      <c r="P27" s="42"/>
      <c r="Q27" s="42"/>
    </row>
    <row r="28" spans="1:225" s="37" customFormat="1">
      <c r="C28" s="37">
        <v>12</v>
      </c>
      <c r="E28" s="33" t="s">
        <v>341</v>
      </c>
      <c r="F28" s="33"/>
      <c r="G28" s="183"/>
      <c r="H28" s="172"/>
      <c r="I28" s="41" t="s">
        <v>7</v>
      </c>
      <c r="J28" s="41" t="s">
        <v>9</v>
      </c>
      <c r="K28" s="42"/>
      <c r="L28" s="42"/>
      <c r="M28" s="42"/>
      <c r="N28" s="42"/>
      <c r="O28" s="42"/>
      <c r="P28" s="42"/>
      <c r="Q28" s="42"/>
    </row>
    <row r="29" spans="1:225" s="37" customFormat="1">
      <c r="C29" s="37">
        <v>13</v>
      </c>
      <c r="E29" s="34" t="s">
        <v>351</v>
      </c>
      <c r="F29" s="34"/>
      <c r="G29" s="183"/>
      <c r="H29" s="172"/>
      <c r="I29" s="41" t="s">
        <v>7</v>
      </c>
      <c r="J29" s="41" t="s">
        <v>9</v>
      </c>
      <c r="K29" s="42"/>
      <c r="L29" s="42"/>
      <c r="M29" s="42"/>
      <c r="N29" s="42"/>
      <c r="O29" s="42"/>
      <c r="P29" s="42"/>
      <c r="Q29" s="42"/>
    </row>
    <row r="30" spans="1:225" s="37" customFormat="1">
      <c r="H30" s="172"/>
      <c r="I30" s="41"/>
      <c r="J30" s="41"/>
      <c r="K30" s="42"/>
      <c r="L30" s="42"/>
      <c r="M30" s="42"/>
      <c r="N30" s="42"/>
      <c r="O30" s="42"/>
      <c r="P30" s="42"/>
      <c r="Q30" s="42"/>
    </row>
    <row r="31" spans="1:225" s="38" customFormat="1" ht="21">
      <c r="A31" s="37"/>
      <c r="B31" s="37"/>
      <c r="C31" s="37"/>
      <c r="D31" s="37"/>
      <c r="E31" s="37"/>
      <c r="F31" s="37"/>
      <c r="G31" s="37"/>
      <c r="H31" s="172"/>
      <c r="I31" s="42"/>
      <c r="J31" s="42"/>
      <c r="K31" s="42"/>
      <c r="L31" s="42"/>
      <c r="M31" s="42"/>
      <c r="N31" s="42"/>
      <c r="O31" s="42"/>
      <c r="P31" s="42"/>
      <c r="Q31" s="42"/>
      <c r="R31" s="37"/>
      <c r="S31" s="37"/>
      <c r="T31" s="37"/>
      <c r="U31" s="37"/>
      <c r="V31" s="37"/>
      <c r="W31" s="37"/>
      <c r="X31" s="37"/>
      <c r="Y31" s="37"/>
      <c r="Z31" s="37"/>
      <c r="AA31" s="37"/>
      <c r="AB31" s="37"/>
      <c r="AC31" s="37"/>
      <c r="AD31" s="37"/>
      <c r="AE31" s="37"/>
      <c r="AF31" s="37"/>
      <c r="AG31" s="37"/>
      <c r="AH31" s="37"/>
      <c r="AI31" s="37"/>
      <c r="AJ31" s="37"/>
      <c r="AK31" s="37"/>
      <c r="AL31" s="37"/>
      <c r="AM31" s="37"/>
      <c r="AN31" s="37"/>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c r="BU31" s="37"/>
      <c r="BV31" s="37"/>
      <c r="BW31" s="37"/>
      <c r="BX31" s="37"/>
      <c r="BY31" s="37"/>
      <c r="BZ31" s="37"/>
      <c r="CA31" s="37"/>
      <c r="CB31" s="37"/>
      <c r="CC31" s="37"/>
      <c r="CD31" s="37"/>
      <c r="CE31" s="37"/>
      <c r="CF31" s="37"/>
      <c r="CG31" s="37"/>
      <c r="CH31" s="37"/>
      <c r="CI31" s="37"/>
      <c r="CJ31" s="37"/>
      <c r="CK31" s="37"/>
      <c r="CL31" s="37"/>
      <c r="CM31" s="37"/>
      <c r="CN31" s="37"/>
      <c r="CO31" s="37"/>
      <c r="CP31" s="37"/>
      <c r="CQ31" s="37"/>
      <c r="CR31" s="37"/>
      <c r="CS31" s="37"/>
      <c r="CT31" s="37"/>
      <c r="CU31" s="37"/>
      <c r="CV31" s="37"/>
      <c r="CW31" s="37"/>
      <c r="CX31" s="37"/>
      <c r="CY31" s="37"/>
      <c r="CZ31" s="37"/>
      <c r="DA31" s="37"/>
      <c r="DB31" s="37"/>
      <c r="DC31" s="37"/>
      <c r="DD31" s="37"/>
      <c r="DE31" s="37"/>
      <c r="DF31" s="37"/>
      <c r="DG31" s="37"/>
      <c r="DH31" s="37"/>
      <c r="DI31" s="37"/>
      <c r="DJ31" s="37"/>
      <c r="DK31" s="37"/>
      <c r="DL31" s="37"/>
      <c r="DM31" s="37"/>
      <c r="DN31" s="37"/>
      <c r="DO31" s="37"/>
      <c r="DP31" s="37"/>
      <c r="DQ31" s="37"/>
      <c r="DR31" s="37"/>
      <c r="DS31" s="37"/>
      <c r="DT31" s="37"/>
      <c r="DU31" s="37"/>
      <c r="DV31" s="37"/>
      <c r="DW31" s="37"/>
      <c r="DX31" s="37"/>
      <c r="DY31" s="37"/>
      <c r="DZ31" s="37"/>
      <c r="EA31" s="37"/>
      <c r="EB31" s="37"/>
      <c r="EC31" s="37"/>
      <c r="ED31" s="37"/>
      <c r="EE31" s="37"/>
      <c r="EF31" s="37"/>
      <c r="EG31" s="37"/>
      <c r="EH31" s="37"/>
      <c r="EI31" s="37"/>
      <c r="EJ31" s="37"/>
      <c r="EK31" s="37"/>
      <c r="EL31" s="37"/>
      <c r="EM31" s="37"/>
      <c r="EN31" s="37"/>
      <c r="EO31" s="37"/>
      <c r="EP31" s="37"/>
      <c r="EQ31" s="37"/>
      <c r="ER31" s="37"/>
      <c r="ES31" s="37"/>
      <c r="ET31" s="37"/>
      <c r="EU31" s="37"/>
      <c r="EV31" s="37"/>
      <c r="EW31" s="37"/>
      <c r="EX31" s="37"/>
      <c r="EY31" s="37"/>
      <c r="EZ31" s="37"/>
      <c r="FA31" s="37"/>
      <c r="FB31" s="37"/>
      <c r="FC31" s="37"/>
      <c r="FD31" s="37"/>
      <c r="FE31" s="37"/>
      <c r="FF31" s="37"/>
      <c r="FG31" s="37"/>
      <c r="FH31" s="37"/>
      <c r="FI31" s="37"/>
      <c r="FJ31" s="37"/>
      <c r="FK31" s="37"/>
      <c r="FL31" s="37"/>
      <c r="FM31" s="37"/>
      <c r="FN31" s="37"/>
      <c r="FO31" s="37"/>
      <c r="FP31" s="37"/>
      <c r="FQ31" s="37"/>
      <c r="FR31" s="37"/>
      <c r="FS31" s="37"/>
      <c r="FT31" s="37"/>
      <c r="FU31" s="37"/>
      <c r="FV31" s="37"/>
      <c r="FW31" s="37"/>
      <c r="FX31" s="37"/>
      <c r="FY31" s="37"/>
      <c r="FZ31" s="37"/>
      <c r="GA31" s="37"/>
      <c r="GB31" s="37"/>
      <c r="GC31" s="37"/>
      <c r="GD31" s="37"/>
      <c r="GE31" s="37"/>
      <c r="GF31" s="37"/>
      <c r="GG31" s="37"/>
      <c r="GH31" s="37"/>
      <c r="GI31" s="37"/>
      <c r="GJ31" s="37"/>
      <c r="GK31" s="37"/>
      <c r="GL31" s="37"/>
      <c r="GM31" s="37"/>
      <c r="GN31" s="37"/>
      <c r="GO31" s="37"/>
      <c r="GP31" s="37"/>
      <c r="GQ31" s="37"/>
      <c r="GR31" s="37"/>
      <c r="GS31" s="37"/>
      <c r="GT31" s="37"/>
      <c r="GU31" s="37"/>
      <c r="GV31" s="37"/>
      <c r="GW31" s="37"/>
      <c r="GX31" s="37"/>
      <c r="GY31" s="37"/>
      <c r="GZ31" s="37"/>
      <c r="HA31" s="37"/>
      <c r="HB31" s="37"/>
      <c r="HC31" s="37"/>
      <c r="HD31" s="37"/>
      <c r="HE31" s="37"/>
      <c r="HF31" s="37"/>
      <c r="HG31" s="37"/>
      <c r="HH31" s="37"/>
      <c r="HI31" s="37"/>
      <c r="HJ31" s="37"/>
      <c r="HK31" s="37"/>
      <c r="HL31" s="37"/>
      <c r="HM31" s="37"/>
      <c r="HN31" s="37"/>
      <c r="HO31" s="37"/>
      <c r="HP31" s="37"/>
      <c r="HQ31" s="37"/>
    </row>
    <row r="32" spans="1:225" s="38" customFormat="1" ht="21">
      <c r="A32" s="37"/>
      <c r="B32" s="37"/>
      <c r="C32" s="37">
        <v>16</v>
      </c>
      <c r="D32" s="37"/>
      <c r="E32" s="33" t="s">
        <v>342</v>
      </c>
      <c r="F32" s="33"/>
      <c r="G32" s="183"/>
      <c r="H32" s="172"/>
      <c r="I32" s="42" t="s">
        <v>7</v>
      </c>
      <c r="J32" s="42" t="s">
        <v>199</v>
      </c>
      <c r="K32" s="42"/>
      <c r="L32" s="42"/>
      <c r="M32" s="42"/>
      <c r="N32" s="42"/>
      <c r="O32" s="42"/>
      <c r="P32" s="42"/>
      <c r="Q32" s="42"/>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c r="BT32" s="37"/>
      <c r="BU32" s="37"/>
      <c r="BV32" s="37"/>
      <c r="BW32" s="37"/>
      <c r="BX32" s="37"/>
      <c r="BY32" s="37"/>
      <c r="BZ32" s="37"/>
      <c r="CA32" s="37"/>
      <c r="CB32" s="37"/>
      <c r="CC32" s="37"/>
      <c r="CD32" s="37"/>
      <c r="CE32" s="37"/>
      <c r="CF32" s="37"/>
      <c r="CG32" s="37"/>
      <c r="CH32" s="37"/>
      <c r="CI32" s="37"/>
      <c r="CJ32" s="37"/>
      <c r="CK32" s="37"/>
      <c r="CL32" s="37"/>
      <c r="CM32" s="37"/>
      <c r="CN32" s="37"/>
      <c r="CO32" s="37"/>
      <c r="CP32" s="37"/>
      <c r="CQ32" s="37"/>
      <c r="CR32" s="37"/>
      <c r="CS32" s="37"/>
      <c r="CT32" s="37"/>
      <c r="CU32" s="37"/>
      <c r="CV32" s="37"/>
      <c r="CW32" s="37"/>
      <c r="CX32" s="37"/>
      <c r="CY32" s="37"/>
      <c r="CZ32" s="37"/>
      <c r="DA32" s="37"/>
      <c r="DB32" s="37"/>
      <c r="DC32" s="37"/>
      <c r="DD32" s="37"/>
      <c r="DE32" s="37"/>
      <c r="DF32" s="37"/>
      <c r="DG32" s="37"/>
      <c r="DH32" s="37"/>
      <c r="DI32" s="37"/>
      <c r="DJ32" s="37"/>
      <c r="DK32" s="37"/>
      <c r="DL32" s="37"/>
      <c r="DM32" s="37"/>
      <c r="DN32" s="37"/>
      <c r="DO32" s="37"/>
      <c r="DP32" s="37"/>
      <c r="DQ32" s="37"/>
      <c r="DR32" s="37"/>
      <c r="DS32" s="37"/>
      <c r="DT32" s="37"/>
      <c r="DU32" s="37"/>
      <c r="DV32" s="37"/>
      <c r="DW32" s="37"/>
      <c r="DX32" s="37"/>
      <c r="DY32" s="37"/>
      <c r="DZ32" s="37"/>
      <c r="EA32" s="37"/>
      <c r="EB32" s="37"/>
      <c r="EC32" s="37"/>
      <c r="ED32" s="37"/>
      <c r="EE32" s="37"/>
      <c r="EF32" s="37"/>
      <c r="EG32" s="37"/>
      <c r="EH32" s="37"/>
      <c r="EI32" s="37"/>
      <c r="EJ32" s="37"/>
      <c r="EK32" s="37"/>
      <c r="EL32" s="37"/>
      <c r="EM32" s="37"/>
      <c r="EN32" s="37"/>
      <c r="EO32" s="37"/>
      <c r="EP32" s="37"/>
      <c r="EQ32" s="37"/>
      <c r="ER32" s="37"/>
      <c r="ES32" s="37"/>
      <c r="ET32" s="37"/>
      <c r="EU32" s="37"/>
      <c r="EV32" s="37"/>
      <c r="EW32" s="37"/>
      <c r="EX32" s="37"/>
      <c r="EY32" s="37"/>
      <c r="EZ32" s="37"/>
      <c r="FA32" s="37"/>
      <c r="FB32" s="37"/>
      <c r="FC32" s="37"/>
      <c r="FD32" s="37"/>
      <c r="FE32" s="37"/>
      <c r="FF32" s="37"/>
      <c r="FG32" s="37"/>
      <c r="FH32" s="37"/>
      <c r="FI32" s="37"/>
      <c r="FJ32" s="37"/>
      <c r="FK32" s="37"/>
      <c r="FL32" s="37"/>
      <c r="FM32" s="37"/>
      <c r="FN32" s="37"/>
      <c r="FO32" s="37"/>
      <c r="FP32" s="37"/>
      <c r="FQ32" s="37"/>
      <c r="FR32" s="37"/>
      <c r="FS32" s="37"/>
      <c r="FT32" s="37"/>
      <c r="FU32" s="37"/>
      <c r="FV32" s="37"/>
      <c r="FW32" s="37"/>
      <c r="FX32" s="37"/>
      <c r="FY32" s="37"/>
      <c r="FZ32" s="37"/>
      <c r="GA32" s="37"/>
      <c r="GB32" s="37"/>
      <c r="GC32" s="37"/>
      <c r="GD32" s="37"/>
      <c r="GE32" s="37"/>
      <c r="GF32" s="37"/>
      <c r="GG32" s="37"/>
      <c r="GH32" s="37"/>
      <c r="GI32" s="37"/>
      <c r="GJ32" s="37"/>
      <c r="GK32" s="37"/>
      <c r="GL32" s="37"/>
      <c r="GM32" s="37"/>
      <c r="GN32" s="37"/>
      <c r="GO32" s="37"/>
      <c r="GP32" s="37"/>
      <c r="GQ32" s="37"/>
      <c r="GR32" s="37"/>
      <c r="GS32" s="37"/>
      <c r="GT32" s="37"/>
      <c r="GU32" s="37"/>
      <c r="GV32" s="37"/>
      <c r="GW32" s="37"/>
      <c r="GX32" s="37"/>
      <c r="GY32" s="37"/>
      <c r="GZ32" s="37"/>
      <c r="HA32" s="37"/>
      <c r="HB32" s="37"/>
      <c r="HC32" s="37"/>
      <c r="HD32" s="37"/>
      <c r="HE32" s="37"/>
      <c r="HF32" s="37"/>
      <c r="HG32" s="37"/>
      <c r="HH32" s="37"/>
      <c r="HI32" s="37"/>
      <c r="HJ32" s="37"/>
      <c r="HK32" s="37"/>
      <c r="HL32" s="37"/>
      <c r="HM32" s="37"/>
      <c r="HN32" s="37"/>
      <c r="HO32" s="37"/>
      <c r="HP32" s="37"/>
      <c r="HQ32" s="37"/>
    </row>
    <row r="33" spans="1:225" s="38" customFormat="1" ht="24" customHeight="1">
      <c r="A33" s="37"/>
      <c r="B33" s="37"/>
      <c r="C33" s="37">
        <v>17</v>
      </c>
      <c r="D33" s="37"/>
      <c r="E33" s="33" t="s">
        <v>350</v>
      </c>
      <c r="F33" s="33"/>
      <c r="G33" s="42"/>
      <c r="H33" s="172"/>
      <c r="I33" s="42"/>
      <c r="J33" s="42"/>
      <c r="K33" s="42"/>
      <c r="L33" s="42"/>
      <c r="M33" s="42"/>
      <c r="N33" s="42"/>
      <c r="O33" s="42"/>
      <c r="P33" s="42"/>
      <c r="Q33" s="42"/>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37"/>
      <c r="CN33" s="37"/>
      <c r="CO33" s="37"/>
      <c r="CP33" s="37"/>
      <c r="CQ33" s="37"/>
      <c r="CR33" s="37"/>
      <c r="CS33" s="37"/>
      <c r="CT33" s="37"/>
      <c r="CU33" s="37"/>
      <c r="CV33" s="37"/>
      <c r="CW33" s="37"/>
      <c r="CX33" s="37"/>
      <c r="CY33" s="37"/>
      <c r="CZ33" s="37"/>
      <c r="DA33" s="37"/>
      <c r="DB33" s="37"/>
      <c r="DC33" s="37"/>
      <c r="DD33" s="37"/>
      <c r="DE33" s="37"/>
      <c r="DF33" s="37"/>
      <c r="DG33" s="37"/>
      <c r="DH33" s="37"/>
      <c r="DI33" s="37"/>
      <c r="DJ33" s="37"/>
      <c r="DK33" s="37"/>
      <c r="DL33" s="37"/>
      <c r="DM33" s="37"/>
      <c r="DN33" s="37"/>
      <c r="DO33" s="37"/>
      <c r="DP33" s="37"/>
      <c r="DQ33" s="37"/>
      <c r="DR33" s="37"/>
      <c r="DS33" s="37"/>
      <c r="DT33" s="37"/>
      <c r="DU33" s="37"/>
      <c r="DV33" s="37"/>
      <c r="DW33" s="37"/>
      <c r="DX33" s="37"/>
      <c r="DY33" s="37"/>
      <c r="DZ33" s="37"/>
      <c r="EA33" s="37"/>
      <c r="EB33" s="37"/>
      <c r="EC33" s="37"/>
      <c r="ED33" s="37"/>
      <c r="EE33" s="37"/>
      <c r="EF33" s="37"/>
      <c r="EG33" s="37"/>
      <c r="EH33" s="37"/>
      <c r="EI33" s="37"/>
      <c r="EJ33" s="37"/>
      <c r="EK33" s="37"/>
      <c r="EL33" s="37"/>
      <c r="EM33" s="37"/>
      <c r="EN33" s="37"/>
      <c r="EO33" s="37"/>
      <c r="EP33" s="37"/>
      <c r="EQ33" s="37"/>
      <c r="ER33" s="37"/>
      <c r="ES33" s="37"/>
      <c r="ET33" s="37"/>
      <c r="EU33" s="37"/>
      <c r="EV33" s="37"/>
      <c r="EW33" s="37"/>
      <c r="EX33" s="37"/>
      <c r="EY33" s="37"/>
      <c r="EZ33" s="37"/>
      <c r="FA33" s="37"/>
      <c r="FB33" s="37"/>
      <c r="FC33" s="37"/>
      <c r="FD33" s="37"/>
      <c r="FE33" s="37"/>
      <c r="FF33" s="37"/>
      <c r="FG33" s="37"/>
      <c r="FH33" s="37"/>
      <c r="FI33" s="37"/>
      <c r="FJ33" s="37"/>
      <c r="FK33" s="37"/>
      <c r="FL33" s="37"/>
      <c r="FM33" s="37"/>
      <c r="FN33" s="37"/>
      <c r="FO33" s="37"/>
      <c r="FP33" s="37"/>
      <c r="FQ33" s="37"/>
      <c r="FR33" s="37"/>
      <c r="FS33" s="37"/>
      <c r="FT33" s="37"/>
      <c r="FU33" s="37"/>
      <c r="FV33" s="37"/>
      <c r="FW33" s="37"/>
      <c r="FX33" s="37"/>
      <c r="FY33" s="37"/>
      <c r="FZ33" s="37"/>
      <c r="GA33" s="37"/>
      <c r="GB33" s="37"/>
      <c r="GC33" s="37"/>
      <c r="GD33" s="37"/>
      <c r="GE33" s="37"/>
      <c r="GF33" s="37"/>
      <c r="GG33" s="37"/>
      <c r="GH33" s="37"/>
      <c r="GI33" s="37"/>
      <c r="GJ33" s="37"/>
      <c r="GK33" s="37"/>
      <c r="GL33" s="37"/>
      <c r="GM33" s="37"/>
      <c r="GN33" s="37"/>
      <c r="GO33" s="37"/>
      <c r="GP33" s="37"/>
      <c r="GQ33" s="37"/>
      <c r="GR33" s="37"/>
      <c r="GS33" s="37"/>
      <c r="GT33" s="37"/>
      <c r="GU33" s="37"/>
      <c r="GV33" s="37"/>
      <c r="GW33" s="37"/>
      <c r="GX33" s="37"/>
      <c r="GY33" s="37"/>
      <c r="GZ33" s="37"/>
      <c r="HA33" s="37"/>
      <c r="HB33" s="37"/>
      <c r="HC33" s="37"/>
      <c r="HD33" s="37"/>
      <c r="HE33" s="37"/>
      <c r="HF33" s="37"/>
      <c r="HG33" s="37"/>
      <c r="HH33" s="37"/>
      <c r="HI33" s="37"/>
      <c r="HJ33" s="37"/>
      <c r="HK33" s="37"/>
      <c r="HL33" s="37"/>
      <c r="HM33" s="37"/>
      <c r="HN33" s="37"/>
      <c r="HO33" s="37"/>
      <c r="HP33" s="37"/>
      <c r="HQ33" s="37"/>
    </row>
    <row r="34" spans="1:225" s="38" customFormat="1" ht="21">
      <c r="A34" s="37"/>
      <c r="B34" s="37"/>
      <c r="C34" s="37"/>
      <c r="D34" s="37"/>
      <c r="E34" s="39" t="s">
        <v>343</v>
      </c>
      <c r="F34" s="40"/>
      <c r="G34" s="183"/>
      <c r="H34" s="172"/>
      <c r="I34" s="42" t="s">
        <v>7</v>
      </c>
      <c r="J34" s="42" t="s">
        <v>9</v>
      </c>
      <c r="K34" s="42"/>
      <c r="L34" s="42"/>
      <c r="M34" s="42"/>
      <c r="N34" s="42"/>
      <c r="O34" s="42"/>
      <c r="P34" s="42"/>
      <c r="Q34" s="42"/>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c r="BU34" s="37"/>
      <c r="BV34" s="37"/>
      <c r="BW34" s="37"/>
      <c r="BX34" s="37"/>
      <c r="BY34" s="37"/>
      <c r="BZ34" s="37"/>
      <c r="CA34" s="37"/>
      <c r="CB34" s="37"/>
      <c r="CC34" s="37"/>
      <c r="CD34" s="37"/>
      <c r="CE34" s="37"/>
      <c r="CF34" s="37"/>
      <c r="CG34" s="37"/>
      <c r="CH34" s="37"/>
      <c r="CI34" s="37"/>
      <c r="CJ34" s="37"/>
      <c r="CK34" s="37"/>
      <c r="CL34" s="37"/>
      <c r="CM34" s="37"/>
      <c r="CN34" s="37"/>
      <c r="CO34" s="37"/>
      <c r="CP34" s="37"/>
      <c r="CQ34" s="37"/>
      <c r="CR34" s="37"/>
      <c r="CS34" s="37"/>
      <c r="CT34" s="37"/>
      <c r="CU34" s="37"/>
      <c r="CV34" s="37"/>
      <c r="CW34" s="37"/>
      <c r="CX34" s="37"/>
      <c r="CY34" s="37"/>
      <c r="CZ34" s="37"/>
      <c r="DA34" s="37"/>
      <c r="DB34" s="37"/>
      <c r="DC34" s="37"/>
      <c r="DD34" s="37"/>
      <c r="DE34" s="37"/>
      <c r="DF34" s="37"/>
      <c r="DG34" s="37"/>
      <c r="DH34" s="37"/>
      <c r="DI34" s="37"/>
      <c r="DJ34" s="37"/>
      <c r="DK34" s="37"/>
      <c r="DL34" s="37"/>
      <c r="DM34" s="37"/>
      <c r="DN34" s="37"/>
      <c r="DO34" s="37"/>
      <c r="DP34" s="37"/>
      <c r="DQ34" s="37"/>
      <c r="DR34" s="37"/>
      <c r="DS34" s="37"/>
      <c r="DT34" s="37"/>
      <c r="DU34" s="37"/>
      <c r="DV34" s="37"/>
      <c r="DW34" s="37"/>
      <c r="DX34" s="37"/>
      <c r="DY34" s="37"/>
      <c r="DZ34" s="37"/>
      <c r="EA34" s="37"/>
      <c r="EB34" s="37"/>
      <c r="EC34" s="37"/>
      <c r="ED34" s="37"/>
      <c r="EE34" s="37"/>
      <c r="EF34" s="37"/>
      <c r="EG34" s="37"/>
      <c r="EH34" s="37"/>
      <c r="EI34" s="37"/>
      <c r="EJ34" s="37"/>
      <c r="EK34" s="37"/>
      <c r="EL34" s="37"/>
      <c r="EM34" s="37"/>
      <c r="EN34" s="37"/>
      <c r="EO34" s="37"/>
      <c r="EP34" s="37"/>
      <c r="EQ34" s="37"/>
      <c r="ER34" s="37"/>
      <c r="ES34" s="37"/>
      <c r="ET34" s="37"/>
      <c r="EU34" s="37"/>
      <c r="EV34" s="37"/>
      <c r="EW34" s="37"/>
      <c r="EX34" s="37"/>
      <c r="EY34" s="37"/>
      <c r="EZ34" s="37"/>
      <c r="FA34" s="37"/>
      <c r="FB34" s="37"/>
      <c r="FC34" s="37"/>
      <c r="FD34" s="37"/>
      <c r="FE34" s="37"/>
      <c r="FF34" s="37"/>
      <c r="FG34" s="37"/>
      <c r="FH34" s="37"/>
      <c r="FI34" s="37"/>
      <c r="FJ34" s="37"/>
      <c r="FK34" s="37"/>
      <c r="FL34" s="37"/>
      <c r="FM34" s="37"/>
      <c r="FN34" s="37"/>
      <c r="FO34" s="37"/>
      <c r="FP34" s="37"/>
      <c r="FQ34" s="37"/>
      <c r="FR34" s="37"/>
      <c r="FS34" s="37"/>
      <c r="FT34" s="37"/>
      <c r="FU34" s="37"/>
      <c r="FV34" s="37"/>
      <c r="FW34" s="37"/>
      <c r="FX34" s="37"/>
      <c r="FY34" s="37"/>
      <c r="FZ34" s="37"/>
      <c r="GA34" s="37"/>
      <c r="GB34" s="37"/>
      <c r="GC34" s="37"/>
      <c r="GD34" s="37"/>
      <c r="GE34" s="37"/>
      <c r="GF34" s="37"/>
      <c r="GG34" s="37"/>
      <c r="GH34" s="37"/>
      <c r="GI34" s="37"/>
      <c r="GJ34" s="37"/>
      <c r="GK34" s="37"/>
      <c r="GL34" s="37"/>
      <c r="GM34" s="37"/>
      <c r="GN34" s="37"/>
      <c r="GO34" s="37"/>
      <c r="GP34" s="37"/>
      <c r="GQ34" s="37"/>
      <c r="GR34" s="37"/>
      <c r="GS34" s="37"/>
      <c r="GT34" s="37"/>
      <c r="GU34" s="37"/>
      <c r="GV34" s="37"/>
      <c r="GW34" s="37"/>
      <c r="GX34" s="37"/>
      <c r="GY34" s="37"/>
      <c r="GZ34" s="37"/>
      <c r="HA34" s="37"/>
      <c r="HB34" s="37"/>
      <c r="HC34" s="37"/>
      <c r="HD34" s="37"/>
      <c r="HE34" s="37"/>
      <c r="HF34" s="37"/>
      <c r="HG34" s="37"/>
      <c r="HH34" s="37"/>
      <c r="HI34" s="37"/>
      <c r="HJ34" s="37"/>
      <c r="HK34" s="37"/>
      <c r="HL34" s="37"/>
      <c r="HM34" s="37"/>
      <c r="HN34" s="37"/>
      <c r="HO34" s="37"/>
      <c r="HP34" s="37"/>
      <c r="HQ34" s="37"/>
    </row>
    <row r="35" spans="1:225" s="38" customFormat="1">
      <c r="A35" s="37"/>
      <c r="B35" s="37"/>
      <c r="C35" s="35"/>
      <c r="D35" s="35"/>
      <c r="E35" s="39" t="s">
        <v>344</v>
      </c>
      <c r="F35" s="40"/>
      <c r="G35" s="183"/>
      <c r="H35" s="172"/>
      <c r="I35" s="42" t="s">
        <v>7</v>
      </c>
      <c r="J35" s="42" t="s">
        <v>9</v>
      </c>
      <c r="K35" s="42"/>
      <c r="L35" s="42"/>
      <c r="M35" s="42"/>
      <c r="N35" s="42"/>
      <c r="O35" s="42"/>
      <c r="P35" s="42"/>
      <c r="Q35" s="42"/>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c r="CE35" s="37"/>
      <c r="CF35" s="37"/>
      <c r="CG35" s="37"/>
      <c r="CH35" s="37"/>
      <c r="CI35" s="37"/>
      <c r="CJ35" s="37"/>
      <c r="CK35" s="37"/>
      <c r="CL35" s="37"/>
      <c r="CM35" s="37"/>
      <c r="CN35" s="37"/>
      <c r="CO35" s="37"/>
      <c r="CP35" s="37"/>
      <c r="CQ35" s="37"/>
      <c r="CR35" s="37"/>
      <c r="CS35" s="37"/>
      <c r="CT35" s="37"/>
      <c r="CU35" s="37"/>
      <c r="CV35" s="37"/>
      <c r="CW35" s="37"/>
      <c r="CX35" s="37"/>
      <c r="CY35" s="37"/>
      <c r="CZ35" s="37"/>
      <c r="DA35" s="37"/>
      <c r="DB35" s="37"/>
      <c r="DC35" s="37"/>
      <c r="DD35" s="37"/>
      <c r="DE35" s="37"/>
      <c r="DF35" s="37"/>
      <c r="DG35" s="37"/>
      <c r="DH35" s="37"/>
      <c r="DI35" s="37"/>
      <c r="DJ35" s="37"/>
      <c r="DK35" s="37"/>
      <c r="DL35" s="37"/>
      <c r="DM35" s="37"/>
      <c r="DN35" s="37"/>
      <c r="DO35" s="37"/>
      <c r="DP35" s="37"/>
      <c r="DQ35" s="37"/>
      <c r="DR35" s="37"/>
      <c r="DS35" s="37"/>
      <c r="DT35" s="37"/>
      <c r="DU35" s="37"/>
      <c r="DV35" s="37"/>
      <c r="DW35" s="37"/>
      <c r="DX35" s="37"/>
      <c r="DY35" s="37"/>
      <c r="DZ35" s="37"/>
      <c r="EA35" s="37"/>
      <c r="EB35" s="37"/>
      <c r="EC35" s="37"/>
      <c r="ED35" s="37"/>
      <c r="EE35" s="37"/>
      <c r="EF35" s="37"/>
      <c r="EG35" s="37"/>
      <c r="EH35" s="37"/>
      <c r="EI35" s="37"/>
      <c r="EJ35" s="37"/>
      <c r="EK35" s="37"/>
      <c r="EL35" s="37"/>
      <c r="EM35" s="37"/>
      <c r="EN35" s="37"/>
      <c r="EO35" s="37"/>
      <c r="EP35" s="37"/>
      <c r="EQ35" s="37"/>
      <c r="ER35" s="37"/>
      <c r="ES35" s="37"/>
      <c r="ET35" s="37"/>
      <c r="EU35" s="37"/>
      <c r="EV35" s="37"/>
      <c r="EW35" s="37"/>
      <c r="EX35" s="37"/>
      <c r="EY35" s="37"/>
      <c r="EZ35" s="37"/>
      <c r="FA35" s="37"/>
      <c r="FB35" s="37"/>
      <c r="FC35" s="37"/>
      <c r="FD35" s="37"/>
      <c r="FE35" s="37"/>
      <c r="FF35" s="37"/>
      <c r="FG35" s="37"/>
      <c r="FH35" s="37"/>
      <c r="FI35" s="37"/>
      <c r="FJ35" s="37"/>
      <c r="FK35" s="37"/>
      <c r="FL35" s="37"/>
      <c r="FM35" s="37"/>
      <c r="FN35" s="37"/>
      <c r="FO35" s="37"/>
      <c r="FP35" s="37"/>
      <c r="FQ35" s="37"/>
      <c r="FR35" s="37"/>
      <c r="FS35" s="37"/>
      <c r="FT35" s="37"/>
      <c r="FU35" s="37"/>
      <c r="FV35" s="37"/>
      <c r="FW35" s="37"/>
      <c r="FX35" s="37"/>
      <c r="FY35" s="37"/>
      <c r="FZ35" s="37"/>
      <c r="GA35" s="37"/>
      <c r="GB35" s="37"/>
      <c r="GC35" s="37"/>
      <c r="GD35" s="37"/>
      <c r="GE35" s="37"/>
      <c r="GF35" s="37"/>
      <c r="GG35" s="37"/>
      <c r="GH35" s="37"/>
      <c r="GI35" s="37"/>
      <c r="GJ35" s="37"/>
      <c r="GK35" s="37"/>
      <c r="GL35" s="37"/>
      <c r="GM35" s="37"/>
      <c r="GN35" s="37"/>
      <c r="GO35" s="37"/>
      <c r="GP35" s="37"/>
      <c r="GQ35" s="37"/>
      <c r="GR35" s="37"/>
      <c r="GS35" s="37"/>
      <c r="GT35" s="37"/>
      <c r="GU35" s="37"/>
      <c r="GV35" s="37"/>
      <c r="GW35" s="37"/>
      <c r="GX35" s="37"/>
      <c r="GY35" s="37"/>
      <c r="GZ35" s="37"/>
      <c r="HA35" s="37"/>
      <c r="HB35" s="37"/>
      <c r="HC35" s="37"/>
      <c r="HD35" s="37"/>
      <c r="HE35" s="37"/>
      <c r="HF35" s="37"/>
      <c r="HG35" s="37"/>
      <c r="HH35" s="37"/>
      <c r="HI35" s="37"/>
      <c r="HJ35" s="37"/>
      <c r="HK35" s="37"/>
      <c r="HL35" s="37"/>
      <c r="HM35" s="37"/>
      <c r="HN35" s="37"/>
      <c r="HO35" s="37"/>
      <c r="HP35" s="37"/>
      <c r="HQ35" s="37"/>
    </row>
    <row r="36" spans="1:225">
      <c r="A36" s="35"/>
      <c r="B36" s="35"/>
      <c r="C36" s="35"/>
      <c r="D36" s="35"/>
      <c r="E36" s="39" t="s">
        <v>345</v>
      </c>
      <c r="F36" s="40"/>
      <c r="G36" s="183"/>
      <c r="I36" s="42" t="s">
        <v>7</v>
      </c>
      <c r="J36" s="42" t="s">
        <v>9</v>
      </c>
      <c r="K36" s="41"/>
      <c r="L36" s="41"/>
      <c r="M36" s="41"/>
      <c r="N36" s="41"/>
      <c r="O36" s="41"/>
      <c r="P36" s="41"/>
      <c r="Q36" s="41"/>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35"/>
      <c r="CG36" s="35"/>
      <c r="CH36" s="35"/>
      <c r="CI36" s="35"/>
      <c r="CJ36" s="35"/>
      <c r="CK36" s="35"/>
      <c r="CL36" s="35"/>
      <c r="CM36" s="35"/>
      <c r="CN36" s="35"/>
      <c r="CO36" s="35"/>
      <c r="CP36" s="35"/>
      <c r="CQ36" s="35"/>
      <c r="CR36" s="35"/>
      <c r="CS36" s="35"/>
      <c r="CT36" s="35"/>
      <c r="CU36" s="35"/>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c r="EF36" s="35"/>
      <c r="EG36" s="35"/>
      <c r="EH36" s="35"/>
      <c r="EI36" s="35"/>
      <c r="EJ36" s="35"/>
      <c r="EK36" s="35"/>
      <c r="EL36" s="35"/>
      <c r="EM36" s="35"/>
      <c r="EN36" s="35"/>
      <c r="EO36" s="35"/>
      <c r="EP36" s="35"/>
      <c r="EQ36" s="35"/>
      <c r="ER36" s="35"/>
      <c r="ES36" s="35"/>
      <c r="ET36" s="35"/>
      <c r="EU36" s="35"/>
      <c r="EV36" s="35"/>
      <c r="EW36" s="35"/>
      <c r="EX36" s="35"/>
      <c r="EY36" s="35"/>
      <c r="EZ36" s="35"/>
      <c r="FA36" s="35"/>
      <c r="FB36" s="35"/>
      <c r="FC36" s="35"/>
      <c r="FD36" s="35"/>
      <c r="FE36" s="35"/>
      <c r="FF36" s="35"/>
      <c r="FG36" s="35"/>
      <c r="FH36" s="35"/>
      <c r="FI36" s="35"/>
      <c r="FJ36" s="35"/>
      <c r="FK36" s="35"/>
      <c r="FL36" s="35"/>
      <c r="FM36" s="35"/>
      <c r="FN36" s="35"/>
      <c r="FO36" s="35"/>
      <c r="FP36" s="35"/>
      <c r="FQ36" s="35"/>
      <c r="FR36" s="35"/>
      <c r="FS36" s="35"/>
      <c r="FT36" s="35"/>
      <c r="FU36" s="35"/>
      <c r="FV36" s="35"/>
      <c r="FW36" s="35"/>
      <c r="FX36" s="35"/>
      <c r="FY36" s="35"/>
      <c r="FZ36" s="35"/>
      <c r="GA36" s="35"/>
      <c r="GB36" s="35"/>
      <c r="GC36" s="35"/>
      <c r="GD36" s="35"/>
      <c r="GE36" s="35"/>
      <c r="GF36" s="35"/>
      <c r="GG36" s="35"/>
      <c r="GH36" s="35"/>
      <c r="GI36" s="35"/>
      <c r="GJ36" s="35"/>
      <c r="GK36" s="35"/>
      <c r="GL36" s="35"/>
      <c r="GM36" s="35"/>
      <c r="GN36" s="35"/>
      <c r="GO36" s="35"/>
      <c r="GP36" s="35"/>
      <c r="GQ36" s="35"/>
      <c r="GR36" s="35"/>
      <c r="GS36" s="35"/>
      <c r="GT36" s="35"/>
      <c r="GU36" s="35"/>
      <c r="GV36" s="35"/>
      <c r="GW36" s="35"/>
      <c r="GX36" s="35"/>
      <c r="GY36" s="35"/>
      <c r="GZ36" s="35"/>
      <c r="HA36" s="35"/>
      <c r="HB36" s="35"/>
      <c r="HC36" s="35"/>
      <c r="HD36" s="35"/>
      <c r="HE36" s="35"/>
      <c r="HF36" s="35"/>
      <c r="HG36" s="35"/>
      <c r="HH36" s="35"/>
      <c r="HI36" s="35"/>
      <c r="HJ36" s="35"/>
      <c r="HK36" s="35"/>
      <c r="HL36" s="35"/>
      <c r="HM36" s="35"/>
      <c r="HN36" s="35"/>
      <c r="HO36" s="35"/>
      <c r="HP36" s="35"/>
      <c r="HQ36" s="35"/>
    </row>
    <row r="37" spans="1:225">
      <c r="A37" s="35"/>
      <c r="B37" s="35"/>
      <c r="C37" s="35"/>
      <c r="D37" s="35"/>
      <c r="E37" s="39" t="s">
        <v>346</v>
      </c>
      <c r="F37" s="40"/>
      <c r="G37" s="183"/>
      <c r="I37" s="42" t="s">
        <v>7</v>
      </c>
      <c r="J37" s="42" t="s">
        <v>9</v>
      </c>
      <c r="K37" s="41"/>
      <c r="L37" s="41"/>
      <c r="M37" s="41"/>
      <c r="N37" s="41"/>
      <c r="O37" s="41"/>
      <c r="P37" s="41"/>
      <c r="Q37" s="41"/>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c r="BT37" s="35"/>
      <c r="BU37" s="35"/>
      <c r="BV37" s="35"/>
      <c r="BW37" s="35"/>
      <c r="BX37" s="35"/>
      <c r="BY37" s="35"/>
      <c r="BZ37" s="35"/>
      <c r="CA37" s="35"/>
      <c r="CB37" s="35"/>
      <c r="CC37" s="35"/>
      <c r="CD37" s="35"/>
      <c r="CE37" s="35"/>
      <c r="CF37" s="35"/>
      <c r="CG37" s="35"/>
      <c r="CH37" s="35"/>
      <c r="CI37" s="35"/>
      <c r="CJ37" s="35"/>
      <c r="CK37" s="35"/>
      <c r="CL37" s="35"/>
      <c r="CM37" s="35"/>
      <c r="CN37" s="35"/>
      <c r="CO37" s="35"/>
      <c r="CP37" s="35"/>
      <c r="CQ37" s="35"/>
      <c r="CR37" s="35"/>
      <c r="CS37" s="35"/>
      <c r="CT37" s="35"/>
      <c r="CU37" s="35"/>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c r="EF37" s="35"/>
      <c r="EG37" s="35"/>
      <c r="EH37" s="35"/>
      <c r="EI37" s="35"/>
      <c r="EJ37" s="35"/>
      <c r="EK37" s="35"/>
      <c r="EL37" s="35"/>
      <c r="EM37" s="35"/>
      <c r="EN37" s="35"/>
      <c r="EO37" s="35"/>
      <c r="EP37" s="35"/>
      <c r="EQ37" s="35"/>
      <c r="ER37" s="35"/>
      <c r="ES37" s="35"/>
      <c r="ET37" s="35"/>
      <c r="EU37" s="35"/>
      <c r="EV37" s="35"/>
      <c r="EW37" s="35"/>
      <c r="EX37" s="35"/>
      <c r="EY37" s="35"/>
      <c r="EZ37" s="35"/>
      <c r="FA37" s="35"/>
      <c r="FB37" s="35"/>
      <c r="FC37" s="35"/>
      <c r="FD37" s="35"/>
      <c r="FE37" s="35"/>
      <c r="FF37" s="35"/>
      <c r="FG37" s="35"/>
      <c r="FH37" s="35"/>
      <c r="FI37" s="35"/>
      <c r="FJ37" s="35"/>
      <c r="FK37" s="35"/>
      <c r="FL37" s="35"/>
      <c r="FM37" s="35"/>
      <c r="FN37" s="35"/>
      <c r="FO37" s="35"/>
      <c r="FP37" s="35"/>
      <c r="FQ37" s="35"/>
      <c r="FR37" s="35"/>
      <c r="FS37" s="35"/>
      <c r="FT37" s="35"/>
      <c r="FU37" s="35"/>
      <c r="FV37" s="35"/>
      <c r="FW37" s="35"/>
      <c r="FX37" s="35"/>
      <c r="FY37" s="35"/>
      <c r="FZ37" s="35"/>
      <c r="GA37" s="35"/>
      <c r="GB37" s="35"/>
      <c r="GC37" s="35"/>
      <c r="GD37" s="35"/>
      <c r="GE37" s="35"/>
      <c r="GF37" s="35"/>
      <c r="GG37" s="35"/>
      <c r="GH37" s="35"/>
      <c r="GI37" s="35"/>
      <c r="GJ37" s="35"/>
      <c r="GK37" s="35"/>
      <c r="GL37" s="35"/>
      <c r="GM37" s="35"/>
      <c r="GN37" s="35"/>
      <c r="GO37" s="35"/>
      <c r="GP37" s="35"/>
      <c r="GQ37" s="35"/>
      <c r="GR37" s="35"/>
      <c r="GS37" s="35"/>
      <c r="GT37" s="35"/>
      <c r="GU37" s="35"/>
      <c r="GV37" s="35"/>
      <c r="GW37" s="35"/>
      <c r="GX37" s="35"/>
      <c r="GY37" s="35"/>
      <c r="GZ37" s="35"/>
      <c r="HA37" s="35"/>
      <c r="HB37" s="35"/>
      <c r="HC37" s="35"/>
      <c r="HD37" s="35"/>
      <c r="HE37" s="35"/>
      <c r="HF37" s="35"/>
      <c r="HG37" s="35"/>
      <c r="HH37" s="35"/>
      <c r="HI37" s="35"/>
      <c r="HJ37" s="35"/>
      <c r="HK37" s="35"/>
      <c r="HL37" s="35"/>
      <c r="HM37" s="35"/>
      <c r="HN37" s="35"/>
      <c r="HO37" s="35"/>
      <c r="HP37" s="35"/>
      <c r="HQ37" s="35"/>
    </row>
    <row r="38" spans="1:225">
      <c r="A38" s="35"/>
      <c r="B38" s="35"/>
      <c r="C38" s="35"/>
      <c r="D38" s="35"/>
      <c r="E38" s="39" t="s">
        <v>347</v>
      </c>
      <c r="F38" s="40"/>
      <c r="G38" s="183"/>
      <c r="I38" s="42" t="s">
        <v>7</v>
      </c>
      <c r="J38" s="42" t="s">
        <v>199</v>
      </c>
      <c r="K38" s="41"/>
      <c r="L38" s="41"/>
      <c r="M38" s="41"/>
      <c r="N38" s="41"/>
      <c r="O38" s="41"/>
      <c r="P38" s="41"/>
      <c r="Q38" s="41"/>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c r="BT38" s="35"/>
      <c r="BU38" s="35"/>
      <c r="BV38" s="35"/>
      <c r="BW38" s="35"/>
      <c r="BX38" s="35"/>
      <c r="BY38" s="35"/>
      <c r="BZ38" s="35"/>
      <c r="CA38" s="35"/>
      <c r="CB38" s="35"/>
      <c r="CC38" s="35"/>
      <c r="CD38" s="35"/>
      <c r="CE38" s="35"/>
      <c r="CF38" s="35"/>
      <c r="CG38" s="35"/>
      <c r="CH38" s="35"/>
      <c r="CI38" s="35"/>
      <c r="CJ38" s="35"/>
      <c r="CK38" s="35"/>
      <c r="CL38" s="35"/>
      <c r="CM38" s="35"/>
      <c r="CN38" s="35"/>
      <c r="CO38" s="35"/>
      <c r="CP38" s="35"/>
      <c r="CQ38" s="35"/>
      <c r="CR38" s="35"/>
      <c r="CS38" s="35"/>
      <c r="CT38" s="35"/>
      <c r="CU38" s="35"/>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c r="EF38" s="35"/>
      <c r="EG38" s="35"/>
      <c r="EH38" s="35"/>
      <c r="EI38" s="35"/>
      <c r="EJ38" s="35"/>
      <c r="EK38" s="35"/>
      <c r="EL38" s="35"/>
      <c r="EM38" s="35"/>
      <c r="EN38" s="35"/>
      <c r="EO38" s="35"/>
      <c r="EP38" s="35"/>
      <c r="EQ38" s="35"/>
      <c r="ER38" s="35"/>
      <c r="ES38" s="35"/>
      <c r="ET38" s="35"/>
      <c r="EU38" s="35"/>
      <c r="EV38" s="35"/>
      <c r="EW38" s="35"/>
      <c r="EX38" s="35"/>
      <c r="EY38" s="35"/>
      <c r="EZ38" s="35"/>
      <c r="FA38" s="35"/>
      <c r="FB38" s="35"/>
      <c r="FC38" s="35"/>
      <c r="FD38" s="35"/>
      <c r="FE38" s="35"/>
      <c r="FF38" s="35"/>
      <c r="FG38" s="35"/>
      <c r="FH38" s="35"/>
      <c r="FI38" s="35"/>
      <c r="FJ38" s="35"/>
      <c r="FK38" s="35"/>
      <c r="FL38" s="35"/>
      <c r="FM38" s="35"/>
      <c r="FN38" s="35"/>
      <c r="FO38" s="35"/>
      <c r="FP38" s="35"/>
      <c r="FQ38" s="35"/>
      <c r="FR38" s="35"/>
      <c r="FS38" s="35"/>
      <c r="FT38" s="35"/>
      <c r="FU38" s="35"/>
      <c r="FV38" s="35"/>
      <c r="FW38" s="35"/>
      <c r="FX38" s="35"/>
      <c r="FY38" s="35"/>
      <c r="FZ38" s="35"/>
      <c r="GA38" s="35"/>
      <c r="GB38" s="35"/>
      <c r="GC38" s="35"/>
      <c r="GD38" s="35"/>
      <c r="GE38" s="35"/>
      <c r="GF38" s="35"/>
      <c r="GG38" s="35"/>
      <c r="GH38" s="35"/>
      <c r="GI38" s="35"/>
      <c r="GJ38" s="35"/>
      <c r="GK38" s="35"/>
      <c r="GL38" s="35"/>
      <c r="GM38" s="35"/>
      <c r="GN38" s="35"/>
      <c r="GO38" s="35"/>
      <c r="GP38" s="35"/>
      <c r="GQ38" s="35"/>
      <c r="GR38" s="35"/>
      <c r="GS38" s="35"/>
      <c r="GT38" s="35"/>
      <c r="GU38" s="35"/>
      <c r="GV38" s="35"/>
      <c r="GW38" s="35"/>
      <c r="GX38" s="35"/>
      <c r="GY38" s="35"/>
      <c r="GZ38" s="35"/>
      <c r="HA38" s="35"/>
      <c r="HB38" s="35"/>
      <c r="HC38" s="35"/>
      <c r="HD38" s="35"/>
      <c r="HE38" s="35"/>
      <c r="HF38" s="35"/>
      <c r="HG38" s="35"/>
      <c r="HH38" s="35"/>
      <c r="HI38" s="35"/>
      <c r="HJ38" s="35"/>
      <c r="HK38" s="35"/>
      <c r="HL38" s="35"/>
      <c r="HM38" s="35"/>
      <c r="HN38" s="35"/>
      <c r="HO38" s="35"/>
      <c r="HP38" s="35"/>
      <c r="HQ38" s="35"/>
    </row>
    <row r="39" spans="1:225">
      <c r="A39" s="35"/>
      <c r="B39" s="35"/>
      <c r="C39" s="35"/>
      <c r="D39" s="35"/>
      <c r="E39" s="39" t="s">
        <v>348</v>
      </c>
      <c r="F39" s="40"/>
      <c r="G39" s="183"/>
      <c r="I39" s="42" t="s">
        <v>7</v>
      </c>
      <c r="J39" s="42" t="s">
        <v>9</v>
      </c>
      <c r="K39" s="41"/>
      <c r="L39" s="41"/>
      <c r="M39" s="41"/>
      <c r="N39" s="41"/>
      <c r="O39" s="41"/>
      <c r="P39" s="41"/>
      <c r="Q39" s="41"/>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c r="CD39" s="35"/>
      <c r="CE39" s="35"/>
      <c r="CF39" s="35"/>
      <c r="CG39" s="35"/>
      <c r="CH39" s="35"/>
      <c r="CI39" s="35"/>
      <c r="CJ39" s="35"/>
      <c r="CK39" s="35"/>
      <c r="CL39" s="35"/>
      <c r="CM39" s="35"/>
      <c r="CN39" s="35"/>
      <c r="CO39" s="35"/>
      <c r="CP39" s="35"/>
      <c r="CQ39" s="35"/>
      <c r="CR39" s="35"/>
      <c r="CS39" s="35"/>
      <c r="CT39" s="35"/>
      <c r="CU39" s="35"/>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c r="EF39" s="35"/>
      <c r="EG39" s="35"/>
      <c r="EH39" s="35"/>
      <c r="EI39" s="35"/>
      <c r="EJ39" s="35"/>
      <c r="EK39" s="35"/>
      <c r="EL39" s="35"/>
      <c r="EM39" s="35"/>
      <c r="EN39" s="35"/>
      <c r="EO39" s="35"/>
      <c r="EP39" s="35"/>
      <c r="EQ39" s="35"/>
      <c r="ER39" s="35"/>
      <c r="ES39" s="35"/>
      <c r="ET39" s="35"/>
      <c r="EU39" s="35"/>
      <c r="EV39" s="35"/>
      <c r="EW39" s="35"/>
      <c r="EX39" s="35"/>
      <c r="EY39" s="35"/>
      <c r="EZ39" s="35"/>
      <c r="FA39" s="35"/>
      <c r="FB39" s="35"/>
      <c r="FC39" s="35"/>
      <c r="FD39" s="35"/>
      <c r="FE39" s="35"/>
      <c r="FF39" s="35"/>
      <c r="FG39" s="35"/>
      <c r="FH39" s="35"/>
      <c r="FI39" s="35"/>
      <c r="FJ39" s="35"/>
      <c r="FK39" s="35"/>
      <c r="FL39" s="35"/>
      <c r="FM39" s="35"/>
      <c r="FN39" s="35"/>
      <c r="FO39" s="35"/>
      <c r="FP39" s="35"/>
      <c r="FQ39" s="35"/>
      <c r="FR39" s="35"/>
      <c r="FS39" s="35"/>
      <c r="FT39" s="35"/>
      <c r="FU39" s="35"/>
      <c r="FV39" s="35"/>
      <c r="FW39" s="35"/>
      <c r="FX39" s="35"/>
      <c r="FY39" s="35"/>
      <c r="FZ39" s="35"/>
      <c r="GA39" s="35"/>
      <c r="GB39" s="35"/>
      <c r="GC39" s="35"/>
      <c r="GD39" s="35"/>
      <c r="GE39" s="35"/>
      <c r="GF39" s="35"/>
      <c r="GG39" s="35"/>
      <c r="GH39" s="35"/>
      <c r="GI39" s="35"/>
      <c r="GJ39" s="35"/>
      <c r="GK39" s="35"/>
      <c r="GL39" s="35"/>
      <c r="GM39" s="35"/>
      <c r="GN39" s="35"/>
      <c r="GO39" s="35"/>
      <c r="GP39" s="35"/>
      <c r="GQ39" s="35"/>
      <c r="GR39" s="35"/>
      <c r="GS39" s="35"/>
      <c r="GT39" s="35"/>
      <c r="GU39" s="35"/>
      <c r="GV39" s="35"/>
      <c r="GW39" s="35"/>
      <c r="GX39" s="35"/>
      <c r="GY39" s="35"/>
      <c r="GZ39" s="35"/>
      <c r="HA39" s="35"/>
      <c r="HB39" s="35"/>
      <c r="HC39" s="35"/>
      <c r="HD39" s="35"/>
      <c r="HE39" s="35"/>
      <c r="HF39" s="35"/>
      <c r="HG39" s="35"/>
      <c r="HH39" s="35"/>
      <c r="HI39" s="35"/>
      <c r="HJ39" s="35"/>
      <c r="HK39" s="35"/>
      <c r="HL39" s="35"/>
      <c r="HM39" s="35"/>
      <c r="HN39" s="35"/>
      <c r="HO39" s="35"/>
      <c r="HP39" s="35"/>
      <c r="HQ39" s="35"/>
    </row>
    <row r="40" spans="1:225">
      <c r="A40" s="35"/>
      <c r="B40" s="35"/>
      <c r="C40" s="35"/>
      <c r="D40" s="35"/>
      <c r="E40" s="39" t="s">
        <v>349</v>
      </c>
      <c r="F40" s="40"/>
      <c r="G40" s="183"/>
      <c r="I40" s="42" t="s">
        <v>7</v>
      </c>
      <c r="J40" s="42" t="s">
        <v>9</v>
      </c>
      <c r="K40" s="41"/>
      <c r="L40" s="41"/>
      <c r="M40" s="41"/>
      <c r="N40" s="41"/>
      <c r="O40" s="41"/>
      <c r="P40" s="41"/>
      <c r="Q40" s="41"/>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c r="CD40" s="35"/>
      <c r="CE40" s="35"/>
      <c r="CF40" s="35"/>
      <c r="CG40" s="35"/>
      <c r="CH40" s="35"/>
      <c r="CI40" s="35"/>
      <c r="CJ40" s="35"/>
      <c r="CK40" s="35"/>
      <c r="CL40" s="35"/>
      <c r="CM40" s="35"/>
      <c r="CN40" s="35"/>
      <c r="CO40" s="35"/>
      <c r="CP40" s="35"/>
      <c r="CQ40" s="35"/>
      <c r="CR40" s="35"/>
      <c r="CS40" s="35"/>
      <c r="CT40" s="35"/>
      <c r="CU40" s="35"/>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c r="EF40" s="35"/>
      <c r="EG40" s="35"/>
      <c r="EH40" s="35"/>
      <c r="EI40" s="35"/>
      <c r="EJ40" s="35"/>
      <c r="EK40" s="35"/>
      <c r="EL40" s="35"/>
      <c r="EM40" s="35"/>
      <c r="EN40" s="35"/>
      <c r="EO40" s="35"/>
      <c r="EP40" s="35"/>
      <c r="EQ40" s="35"/>
      <c r="ER40" s="35"/>
      <c r="ES40" s="35"/>
      <c r="ET40" s="35"/>
      <c r="EU40" s="35"/>
      <c r="EV40" s="35"/>
      <c r="EW40" s="35"/>
      <c r="EX40" s="35"/>
      <c r="EY40" s="35"/>
      <c r="EZ40" s="35"/>
      <c r="FA40" s="35"/>
      <c r="FB40" s="35"/>
      <c r="FC40" s="35"/>
      <c r="FD40" s="35"/>
      <c r="FE40" s="35"/>
      <c r="FF40" s="35"/>
      <c r="FG40" s="35"/>
      <c r="FH40" s="35"/>
      <c r="FI40" s="35"/>
      <c r="FJ40" s="35"/>
      <c r="FK40" s="35"/>
      <c r="FL40" s="35"/>
      <c r="FM40" s="35"/>
      <c r="FN40" s="35"/>
      <c r="FO40" s="35"/>
      <c r="FP40" s="35"/>
      <c r="FQ40" s="35"/>
      <c r="FR40" s="35"/>
      <c r="FS40" s="35"/>
      <c r="FT40" s="35"/>
      <c r="FU40" s="35"/>
      <c r="FV40" s="35"/>
      <c r="FW40" s="35"/>
      <c r="FX40" s="35"/>
      <c r="FY40" s="35"/>
      <c r="FZ40" s="35"/>
      <c r="GA40" s="35"/>
      <c r="GB40" s="35"/>
      <c r="GC40" s="35"/>
      <c r="GD40" s="35"/>
      <c r="GE40" s="35"/>
      <c r="GF40" s="35"/>
      <c r="GG40" s="35"/>
      <c r="GH40" s="35"/>
      <c r="GI40" s="35"/>
      <c r="GJ40" s="35"/>
      <c r="GK40" s="35"/>
      <c r="GL40" s="35"/>
      <c r="GM40" s="35"/>
      <c r="GN40" s="35"/>
      <c r="GO40" s="35"/>
      <c r="GP40" s="35"/>
      <c r="GQ40" s="35"/>
      <c r="GR40" s="35"/>
      <c r="GS40" s="35"/>
      <c r="GT40" s="35"/>
      <c r="GU40" s="35"/>
      <c r="GV40" s="35"/>
      <c r="GW40" s="35"/>
      <c r="GX40" s="35"/>
      <c r="GY40" s="35"/>
      <c r="GZ40" s="35"/>
      <c r="HA40" s="35"/>
      <c r="HB40" s="35"/>
      <c r="HC40" s="35"/>
      <c r="HD40" s="35"/>
      <c r="HE40" s="35"/>
      <c r="HF40" s="35"/>
      <c r="HG40" s="35"/>
      <c r="HH40" s="35"/>
      <c r="HI40" s="35"/>
      <c r="HJ40" s="35"/>
      <c r="HK40" s="35"/>
      <c r="HL40" s="35"/>
      <c r="HM40" s="35"/>
      <c r="HN40" s="35"/>
      <c r="HO40" s="35"/>
      <c r="HP40" s="35"/>
      <c r="HQ40" s="35"/>
    </row>
    <row r="41" spans="1:225">
      <c r="A41" s="35"/>
      <c r="B41" s="35"/>
      <c r="C41" s="35"/>
      <c r="D41" s="35"/>
      <c r="E41" s="39" t="s">
        <v>363</v>
      </c>
      <c r="F41" s="40"/>
      <c r="G41" s="183"/>
      <c r="I41" s="42" t="s">
        <v>7</v>
      </c>
      <c r="J41" s="42" t="s">
        <v>9</v>
      </c>
      <c r="K41" s="41"/>
      <c r="L41" s="41"/>
      <c r="M41" s="41"/>
      <c r="N41" s="41"/>
      <c r="O41" s="41"/>
      <c r="P41" s="41"/>
      <c r="Q41" s="41"/>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c r="CD41" s="35"/>
      <c r="CE41" s="35"/>
      <c r="CF41" s="35"/>
      <c r="CG41" s="35"/>
      <c r="CH41" s="35"/>
      <c r="CI41" s="35"/>
      <c r="CJ41" s="35"/>
      <c r="CK41" s="35"/>
      <c r="CL41" s="35"/>
      <c r="CM41" s="35"/>
      <c r="CN41" s="35"/>
      <c r="CO41" s="35"/>
      <c r="CP41" s="35"/>
      <c r="CQ41" s="35"/>
      <c r="CR41" s="35"/>
      <c r="CS41" s="35"/>
      <c r="CT41" s="35"/>
      <c r="CU41" s="35"/>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c r="EF41" s="35"/>
      <c r="EG41" s="35"/>
      <c r="EH41" s="35"/>
      <c r="EI41" s="35"/>
      <c r="EJ41" s="35"/>
      <c r="EK41" s="35"/>
      <c r="EL41" s="35"/>
      <c r="EM41" s="35"/>
      <c r="EN41" s="35"/>
      <c r="EO41" s="35"/>
      <c r="EP41" s="35"/>
      <c r="EQ41" s="35"/>
      <c r="ER41" s="35"/>
      <c r="ES41" s="35"/>
      <c r="ET41" s="35"/>
      <c r="EU41" s="35"/>
      <c r="EV41" s="35"/>
      <c r="EW41" s="35"/>
      <c r="EX41" s="35"/>
      <c r="EY41" s="35"/>
      <c r="EZ41" s="35"/>
      <c r="FA41" s="35"/>
      <c r="FB41" s="35"/>
      <c r="FC41" s="35"/>
      <c r="FD41" s="35"/>
      <c r="FE41" s="35"/>
      <c r="FF41" s="35"/>
      <c r="FG41" s="35"/>
      <c r="FH41" s="35"/>
      <c r="FI41" s="35"/>
      <c r="FJ41" s="35"/>
      <c r="FK41" s="35"/>
      <c r="FL41" s="35"/>
      <c r="FM41" s="35"/>
      <c r="FN41" s="35"/>
      <c r="FO41" s="35"/>
      <c r="FP41" s="35"/>
      <c r="FQ41" s="35"/>
      <c r="FR41" s="35"/>
      <c r="FS41" s="35"/>
      <c r="FT41" s="35"/>
      <c r="FU41" s="35"/>
      <c r="FV41" s="35"/>
      <c r="FW41" s="35"/>
      <c r="FX41" s="35"/>
      <c r="FY41" s="35"/>
      <c r="FZ41" s="35"/>
      <c r="GA41" s="35"/>
      <c r="GB41" s="35"/>
      <c r="GC41" s="35"/>
      <c r="GD41" s="35"/>
      <c r="GE41" s="35"/>
      <c r="GF41" s="35"/>
      <c r="GG41" s="35"/>
      <c r="GH41" s="35"/>
      <c r="GI41" s="35"/>
      <c r="GJ41" s="35"/>
      <c r="GK41" s="35"/>
      <c r="GL41" s="35"/>
      <c r="GM41" s="35"/>
      <c r="GN41" s="35"/>
      <c r="GO41" s="35"/>
      <c r="GP41" s="35"/>
      <c r="GQ41" s="35"/>
      <c r="GR41" s="35"/>
      <c r="GS41" s="35"/>
      <c r="GT41" s="35"/>
      <c r="GU41" s="35"/>
      <c r="GV41" s="35"/>
      <c r="GW41" s="35"/>
      <c r="GX41" s="35"/>
      <c r="GY41" s="35"/>
      <c r="GZ41" s="35"/>
      <c r="HA41" s="35"/>
      <c r="HB41" s="35"/>
      <c r="HC41" s="35"/>
      <c r="HD41" s="35"/>
      <c r="HE41" s="35"/>
      <c r="HF41" s="35"/>
      <c r="HG41" s="35"/>
      <c r="HH41" s="35"/>
      <c r="HI41" s="35"/>
      <c r="HJ41" s="35"/>
      <c r="HK41" s="35"/>
      <c r="HL41" s="35"/>
      <c r="HM41" s="35"/>
      <c r="HN41" s="35"/>
      <c r="HO41" s="35"/>
      <c r="HP41" s="35"/>
      <c r="HQ41" s="35"/>
    </row>
    <row r="42" spans="1:225">
      <c r="A42" s="35"/>
      <c r="B42" s="35"/>
      <c r="C42" s="35"/>
      <c r="D42" s="35"/>
      <c r="E42" s="39" t="s">
        <v>364</v>
      </c>
      <c r="F42" s="40"/>
      <c r="G42" s="183"/>
      <c r="I42" s="42" t="s">
        <v>7</v>
      </c>
      <c r="J42" s="42" t="s">
        <v>9</v>
      </c>
      <c r="K42" s="41"/>
      <c r="L42" s="41"/>
      <c r="M42" s="41"/>
      <c r="N42" s="41"/>
      <c r="O42" s="41"/>
      <c r="P42" s="41"/>
      <c r="Q42" s="41"/>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c r="CD42" s="35"/>
      <c r="CE42" s="35"/>
      <c r="CF42" s="35"/>
      <c r="CG42" s="35"/>
      <c r="CH42" s="35"/>
      <c r="CI42" s="35"/>
      <c r="CJ42" s="35"/>
      <c r="CK42" s="35"/>
      <c r="CL42" s="35"/>
      <c r="CM42" s="35"/>
      <c r="CN42" s="35"/>
      <c r="CO42" s="35"/>
      <c r="CP42" s="35"/>
      <c r="CQ42" s="35"/>
      <c r="CR42" s="35"/>
      <c r="CS42" s="35"/>
      <c r="CT42" s="35"/>
      <c r="CU42" s="35"/>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c r="EF42" s="35"/>
      <c r="EG42" s="35"/>
      <c r="EH42" s="35"/>
      <c r="EI42" s="35"/>
      <c r="EJ42" s="35"/>
      <c r="EK42" s="35"/>
      <c r="EL42" s="35"/>
      <c r="EM42" s="35"/>
      <c r="EN42" s="35"/>
      <c r="EO42" s="35"/>
      <c r="EP42" s="35"/>
      <c r="EQ42" s="35"/>
      <c r="ER42" s="35"/>
      <c r="ES42" s="35"/>
      <c r="ET42" s="35"/>
      <c r="EU42" s="35"/>
      <c r="EV42" s="35"/>
      <c r="EW42" s="35"/>
      <c r="EX42" s="35"/>
      <c r="EY42" s="35"/>
      <c r="EZ42" s="35"/>
      <c r="FA42" s="35"/>
      <c r="FB42" s="35"/>
      <c r="FC42" s="35"/>
      <c r="FD42" s="35"/>
      <c r="FE42" s="35"/>
      <c r="FF42" s="35"/>
      <c r="FG42" s="35"/>
      <c r="FH42" s="35"/>
      <c r="FI42" s="35"/>
      <c r="FJ42" s="35"/>
      <c r="FK42" s="35"/>
      <c r="FL42" s="35"/>
      <c r="FM42" s="35"/>
      <c r="FN42" s="35"/>
      <c r="FO42" s="35"/>
      <c r="FP42" s="35"/>
      <c r="FQ42" s="35"/>
      <c r="FR42" s="35"/>
      <c r="FS42" s="35"/>
      <c r="FT42" s="35"/>
      <c r="FU42" s="35"/>
      <c r="FV42" s="35"/>
      <c r="FW42" s="35"/>
      <c r="FX42" s="35"/>
      <c r="FY42" s="35"/>
      <c r="FZ42" s="35"/>
      <c r="GA42" s="35"/>
      <c r="GB42" s="35"/>
      <c r="GC42" s="35"/>
      <c r="GD42" s="35"/>
      <c r="GE42" s="35"/>
      <c r="GF42" s="35"/>
      <c r="GG42" s="35"/>
      <c r="GH42" s="35"/>
      <c r="GI42" s="35"/>
      <c r="GJ42" s="35"/>
      <c r="GK42" s="35"/>
      <c r="GL42" s="35"/>
      <c r="GM42" s="35"/>
      <c r="GN42" s="35"/>
      <c r="GO42" s="35"/>
      <c r="GP42" s="35"/>
      <c r="GQ42" s="35"/>
      <c r="GR42" s="35"/>
      <c r="GS42" s="35"/>
      <c r="GT42" s="35"/>
      <c r="GU42" s="35"/>
      <c r="GV42" s="35"/>
      <c r="GW42" s="35"/>
      <c r="GX42" s="35"/>
      <c r="GY42" s="35"/>
      <c r="GZ42" s="35"/>
      <c r="HA42" s="35"/>
      <c r="HB42" s="35"/>
      <c r="HC42" s="35"/>
      <c r="HD42" s="35"/>
      <c r="HE42" s="35"/>
      <c r="HF42" s="35"/>
      <c r="HG42" s="35"/>
      <c r="HH42" s="35"/>
      <c r="HI42" s="35"/>
      <c r="HJ42" s="35"/>
      <c r="HK42" s="35"/>
      <c r="HL42" s="35"/>
      <c r="HM42" s="35"/>
      <c r="HN42" s="35"/>
      <c r="HO42" s="35"/>
      <c r="HP42" s="35"/>
      <c r="HQ42" s="35"/>
    </row>
    <row r="43" spans="1:225">
      <c r="A43" s="35"/>
      <c r="B43" s="35"/>
      <c r="C43" s="35"/>
      <c r="D43" s="35"/>
      <c r="E43" s="39" t="s">
        <v>365</v>
      </c>
      <c r="F43" s="40"/>
      <c r="G43" s="183"/>
      <c r="I43" s="42" t="s">
        <v>7</v>
      </c>
      <c r="J43" s="42" t="s">
        <v>199</v>
      </c>
      <c r="K43" s="41"/>
      <c r="L43" s="41"/>
      <c r="M43" s="41"/>
      <c r="N43" s="41"/>
      <c r="O43" s="41"/>
      <c r="P43" s="41"/>
      <c r="Q43" s="41"/>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c r="CD43" s="35"/>
      <c r="CE43" s="35"/>
      <c r="CF43" s="35"/>
      <c r="CG43" s="35"/>
      <c r="CH43" s="35"/>
      <c r="CI43" s="35"/>
      <c r="CJ43" s="35"/>
      <c r="CK43" s="35"/>
      <c r="CL43" s="35"/>
      <c r="CM43" s="35"/>
      <c r="CN43" s="35"/>
      <c r="CO43" s="35"/>
      <c r="CP43" s="35"/>
      <c r="CQ43" s="35"/>
      <c r="CR43" s="35"/>
      <c r="CS43" s="35"/>
      <c r="CT43" s="35"/>
      <c r="CU43" s="35"/>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c r="EF43" s="35"/>
      <c r="EG43" s="35"/>
      <c r="EH43" s="35"/>
      <c r="EI43" s="35"/>
      <c r="EJ43" s="35"/>
      <c r="EK43" s="35"/>
      <c r="EL43" s="35"/>
      <c r="EM43" s="35"/>
      <c r="EN43" s="35"/>
      <c r="EO43" s="35"/>
      <c r="EP43" s="35"/>
      <c r="EQ43" s="35"/>
      <c r="ER43" s="35"/>
      <c r="ES43" s="35"/>
      <c r="ET43" s="35"/>
      <c r="EU43" s="35"/>
      <c r="EV43" s="35"/>
      <c r="EW43" s="35"/>
      <c r="EX43" s="35"/>
      <c r="EY43" s="35"/>
      <c r="EZ43" s="35"/>
      <c r="FA43" s="35"/>
      <c r="FB43" s="35"/>
      <c r="FC43" s="35"/>
      <c r="FD43" s="35"/>
      <c r="FE43" s="35"/>
      <c r="FF43" s="35"/>
      <c r="FG43" s="35"/>
      <c r="FH43" s="35"/>
      <c r="FI43" s="35"/>
      <c r="FJ43" s="35"/>
      <c r="FK43" s="35"/>
      <c r="FL43" s="35"/>
      <c r="FM43" s="35"/>
      <c r="FN43" s="35"/>
      <c r="FO43" s="35"/>
      <c r="FP43" s="35"/>
      <c r="FQ43" s="35"/>
      <c r="FR43" s="35"/>
      <c r="FS43" s="35"/>
      <c r="FT43" s="35"/>
      <c r="FU43" s="35"/>
      <c r="FV43" s="35"/>
      <c r="FW43" s="35"/>
      <c r="FX43" s="35"/>
      <c r="FY43" s="35"/>
      <c r="FZ43" s="35"/>
      <c r="GA43" s="35"/>
      <c r="GB43" s="35"/>
      <c r="GC43" s="35"/>
      <c r="GD43" s="35"/>
      <c r="GE43" s="35"/>
      <c r="GF43" s="35"/>
      <c r="GG43" s="35"/>
      <c r="GH43" s="35"/>
      <c r="GI43" s="35"/>
      <c r="GJ43" s="35"/>
      <c r="GK43" s="35"/>
      <c r="GL43" s="35"/>
      <c r="GM43" s="35"/>
      <c r="GN43" s="35"/>
      <c r="GO43" s="35"/>
      <c r="GP43" s="35"/>
      <c r="GQ43" s="35"/>
      <c r="GR43" s="35"/>
      <c r="GS43" s="35"/>
      <c r="GT43" s="35"/>
      <c r="GU43" s="35"/>
      <c r="GV43" s="35"/>
      <c r="GW43" s="35"/>
      <c r="GX43" s="35"/>
      <c r="GY43" s="35"/>
      <c r="GZ43" s="35"/>
      <c r="HA43" s="35"/>
      <c r="HB43" s="35"/>
      <c r="HC43" s="35"/>
      <c r="HD43" s="35"/>
      <c r="HE43" s="35"/>
      <c r="HF43" s="35"/>
      <c r="HG43" s="35"/>
      <c r="HH43" s="35"/>
      <c r="HI43" s="35"/>
      <c r="HJ43" s="35"/>
      <c r="HK43" s="35"/>
      <c r="HL43" s="35"/>
      <c r="HM43" s="35"/>
      <c r="HN43" s="35"/>
      <c r="HO43" s="35"/>
      <c r="HP43" s="35"/>
      <c r="HQ43" s="35"/>
    </row>
    <row r="44" spans="1:225">
      <c r="A44" s="35"/>
      <c r="B44" s="35"/>
      <c r="C44" s="35"/>
      <c r="D44" s="35"/>
      <c r="E44" s="39" t="s">
        <v>366</v>
      </c>
      <c r="F44" s="40"/>
      <c r="G44" s="183"/>
      <c r="I44" s="42" t="s">
        <v>7</v>
      </c>
      <c r="J44" s="42" t="s">
        <v>199</v>
      </c>
      <c r="K44" s="41"/>
      <c r="L44" s="41"/>
      <c r="M44" s="41"/>
      <c r="N44" s="41"/>
      <c r="O44" s="41"/>
      <c r="P44" s="41"/>
      <c r="Q44" s="41"/>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c r="BT44" s="35"/>
      <c r="BU44" s="35"/>
      <c r="BV44" s="35"/>
      <c r="BW44" s="35"/>
      <c r="BX44" s="35"/>
      <c r="BY44" s="35"/>
      <c r="BZ44" s="35"/>
      <c r="CA44" s="35"/>
      <c r="CB44" s="35"/>
      <c r="CC44" s="35"/>
      <c r="CD44" s="35"/>
      <c r="CE44" s="35"/>
      <c r="CF44" s="35"/>
      <c r="CG44" s="35"/>
      <c r="CH44" s="35"/>
      <c r="CI44" s="35"/>
      <c r="CJ44" s="35"/>
      <c r="CK44" s="35"/>
      <c r="CL44" s="35"/>
      <c r="CM44" s="35"/>
      <c r="CN44" s="35"/>
      <c r="CO44" s="35"/>
      <c r="CP44" s="35"/>
      <c r="CQ44" s="35"/>
      <c r="CR44" s="35"/>
      <c r="CS44" s="35"/>
      <c r="CT44" s="35"/>
      <c r="CU44" s="35"/>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c r="EF44" s="35"/>
      <c r="EG44" s="35"/>
      <c r="EH44" s="35"/>
      <c r="EI44" s="35"/>
      <c r="EJ44" s="35"/>
      <c r="EK44" s="35"/>
      <c r="EL44" s="35"/>
      <c r="EM44" s="35"/>
      <c r="EN44" s="35"/>
      <c r="EO44" s="35"/>
      <c r="EP44" s="35"/>
      <c r="EQ44" s="35"/>
      <c r="ER44" s="35"/>
      <c r="ES44" s="35"/>
      <c r="ET44" s="35"/>
      <c r="EU44" s="35"/>
      <c r="EV44" s="35"/>
      <c r="EW44" s="35"/>
      <c r="EX44" s="35"/>
      <c r="EY44" s="35"/>
      <c r="EZ44" s="35"/>
      <c r="FA44" s="35"/>
      <c r="FB44" s="35"/>
      <c r="FC44" s="35"/>
      <c r="FD44" s="35"/>
      <c r="FE44" s="35"/>
      <c r="FF44" s="35"/>
      <c r="FG44" s="35"/>
      <c r="FH44" s="35"/>
      <c r="FI44" s="35"/>
      <c r="FJ44" s="35"/>
      <c r="FK44" s="35"/>
      <c r="FL44" s="35"/>
      <c r="FM44" s="35"/>
      <c r="FN44" s="35"/>
      <c r="FO44" s="35"/>
      <c r="FP44" s="35"/>
      <c r="FQ44" s="35"/>
      <c r="FR44" s="35"/>
      <c r="FS44" s="35"/>
      <c r="FT44" s="35"/>
      <c r="FU44" s="35"/>
      <c r="FV44" s="35"/>
      <c r="FW44" s="35"/>
      <c r="FX44" s="35"/>
      <c r="FY44" s="35"/>
      <c r="FZ44" s="35"/>
      <c r="GA44" s="35"/>
      <c r="GB44" s="35"/>
      <c r="GC44" s="35"/>
      <c r="GD44" s="35"/>
      <c r="GE44" s="35"/>
      <c r="GF44" s="35"/>
      <c r="GG44" s="35"/>
      <c r="GH44" s="35"/>
      <c r="GI44" s="35"/>
      <c r="GJ44" s="35"/>
      <c r="GK44" s="35"/>
      <c r="GL44" s="35"/>
      <c r="GM44" s="35"/>
      <c r="GN44" s="35"/>
      <c r="GO44" s="35"/>
      <c r="GP44" s="35"/>
      <c r="GQ44" s="35"/>
      <c r="GR44" s="35"/>
      <c r="GS44" s="35"/>
      <c r="GT44" s="35"/>
      <c r="GU44" s="35"/>
      <c r="GV44" s="35"/>
      <c r="GW44" s="35"/>
      <c r="GX44" s="35"/>
      <c r="GY44" s="35"/>
      <c r="GZ44" s="35"/>
      <c r="HA44" s="35"/>
      <c r="HB44" s="35"/>
      <c r="HC44" s="35"/>
      <c r="HD44" s="35"/>
      <c r="HE44" s="35"/>
      <c r="HF44" s="35"/>
      <c r="HG44" s="35"/>
      <c r="HH44" s="35"/>
      <c r="HI44" s="35"/>
      <c r="HJ44" s="35"/>
      <c r="HK44" s="35"/>
      <c r="HL44" s="35"/>
      <c r="HM44" s="35"/>
      <c r="HN44" s="35"/>
      <c r="HO44" s="35"/>
      <c r="HP44" s="35"/>
      <c r="HQ44" s="35"/>
    </row>
    <row r="45" spans="1:225">
      <c r="A45" s="35"/>
      <c r="B45" s="35"/>
      <c r="C45" s="35"/>
      <c r="D45" s="35"/>
      <c r="E45" s="35"/>
      <c r="F45" s="35"/>
      <c r="H45" s="172" t="str">
        <f>IF((COUNTA(G44,G43,G42,G41,G40,G39,G38,G37,G36,G35,G34,G32,G29,G28,G26,G25,G22,G21,G20,G17,G16,G15,G13,G12,G11,G10,G9,G7,G6,G5,G4)&gt;15),"cert1","NoCert1")</f>
        <v>NoCert1</v>
      </c>
      <c r="I45" s="41"/>
      <c r="J45" s="41"/>
      <c r="K45" s="41"/>
      <c r="L45" s="41"/>
      <c r="M45" s="41"/>
      <c r="N45" s="41"/>
      <c r="O45" s="41"/>
      <c r="P45" s="41"/>
      <c r="Q45" s="41"/>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35"/>
      <c r="BW45" s="35"/>
      <c r="BX45" s="35"/>
      <c r="BY45" s="35"/>
      <c r="BZ45" s="35"/>
      <c r="CA45" s="35"/>
      <c r="CB45" s="35"/>
      <c r="CC45" s="35"/>
      <c r="CD45" s="35"/>
      <c r="CE45" s="35"/>
      <c r="CF45" s="35"/>
      <c r="CG45" s="35"/>
      <c r="CH45" s="35"/>
      <c r="CI45" s="35"/>
      <c r="CJ45" s="35"/>
      <c r="CK45" s="35"/>
      <c r="CL45" s="35"/>
      <c r="CM45" s="35"/>
      <c r="CN45" s="35"/>
      <c r="CO45" s="35"/>
      <c r="CP45" s="35"/>
      <c r="CQ45" s="35"/>
      <c r="CR45" s="35"/>
      <c r="CS45" s="35"/>
      <c r="CT45" s="35"/>
      <c r="CU45" s="35"/>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c r="EF45" s="35"/>
      <c r="EG45" s="35"/>
      <c r="EH45" s="35"/>
      <c r="EI45" s="35"/>
      <c r="EJ45" s="35"/>
      <c r="EK45" s="35"/>
      <c r="EL45" s="35"/>
      <c r="EM45" s="35"/>
      <c r="EN45" s="35"/>
      <c r="EO45" s="35"/>
      <c r="EP45" s="35"/>
      <c r="EQ45" s="35"/>
      <c r="ER45" s="35"/>
      <c r="ES45" s="35"/>
      <c r="ET45" s="35"/>
      <c r="EU45" s="35"/>
      <c r="EV45" s="35"/>
      <c r="EW45" s="35"/>
      <c r="EX45" s="35"/>
      <c r="EY45" s="35"/>
      <c r="EZ45" s="35"/>
      <c r="FA45" s="35"/>
      <c r="FB45" s="35"/>
      <c r="FC45" s="35"/>
      <c r="FD45" s="35"/>
      <c r="FE45" s="35"/>
      <c r="FF45" s="35"/>
      <c r="FG45" s="35"/>
      <c r="FH45" s="35"/>
      <c r="FI45" s="35"/>
      <c r="FJ45" s="35"/>
      <c r="FK45" s="35"/>
      <c r="FL45" s="35"/>
      <c r="FM45" s="35"/>
      <c r="FN45" s="35"/>
      <c r="FO45" s="35"/>
      <c r="FP45" s="35"/>
      <c r="FQ45" s="35"/>
      <c r="FR45" s="35"/>
      <c r="FS45" s="35"/>
      <c r="FT45" s="35"/>
      <c r="FU45" s="35"/>
      <c r="FV45" s="35"/>
      <c r="FW45" s="35"/>
      <c r="FX45" s="35"/>
      <c r="FY45" s="35"/>
      <c r="FZ45" s="35"/>
      <c r="GA45" s="35"/>
      <c r="GB45" s="35"/>
      <c r="GC45" s="35"/>
      <c r="GD45" s="35"/>
      <c r="GE45" s="35"/>
      <c r="GF45" s="35"/>
      <c r="GG45" s="35"/>
      <c r="GH45" s="35"/>
      <c r="GI45" s="35"/>
      <c r="GJ45" s="35"/>
      <c r="GK45" s="35"/>
      <c r="GL45" s="35"/>
      <c r="GM45" s="35"/>
      <c r="GN45" s="35"/>
      <c r="GO45" s="35"/>
      <c r="GP45" s="35"/>
      <c r="GQ45" s="35"/>
      <c r="GR45" s="35"/>
      <c r="GS45" s="35"/>
      <c r="GT45" s="35"/>
      <c r="GU45" s="35"/>
      <c r="GV45" s="35"/>
      <c r="GW45" s="35"/>
      <c r="GX45" s="35"/>
      <c r="GY45" s="35"/>
      <c r="GZ45" s="35"/>
      <c r="HA45" s="35"/>
      <c r="HB45" s="35"/>
      <c r="HC45" s="35"/>
      <c r="HD45" s="35"/>
      <c r="HE45" s="35"/>
      <c r="HF45" s="35"/>
      <c r="HG45" s="35"/>
      <c r="HH45" s="35"/>
      <c r="HI45" s="35"/>
      <c r="HJ45" s="35"/>
      <c r="HK45" s="35"/>
      <c r="HL45" s="35"/>
      <c r="HM45" s="35"/>
      <c r="HN45" s="35"/>
      <c r="HO45" s="35"/>
      <c r="HP45" s="35"/>
      <c r="HQ45" s="35"/>
    </row>
    <row r="46" spans="1:225" s="37" customFormat="1" ht="21">
      <c r="H46" s="172"/>
    </row>
    <row r="47" spans="1:225" s="37" customFormat="1">
      <c r="B47" s="35" t="s">
        <v>362</v>
      </c>
      <c r="H47" s="172"/>
    </row>
    <row r="48" spans="1:225" s="37" customFormat="1" ht="21">
      <c r="H48" s="172"/>
    </row>
    <row r="49" spans="1:225" s="37" customFormat="1" ht="21">
      <c r="C49" s="37">
        <v>1</v>
      </c>
      <c r="E49" s="33" t="s">
        <v>374</v>
      </c>
      <c r="F49" s="33"/>
      <c r="H49" s="172"/>
      <c r="I49" s="42"/>
      <c r="J49" s="42"/>
      <c r="K49" s="42"/>
      <c r="L49" s="42"/>
      <c r="M49" s="42"/>
      <c r="N49" s="42"/>
      <c r="O49" s="42"/>
    </row>
    <row r="50" spans="1:225" s="37" customFormat="1" ht="21">
      <c r="E50" s="39" t="s">
        <v>367</v>
      </c>
      <c r="F50" s="39"/>
      <c r="G50" s="183"/>
      <c r="H50" s="172" t="str">
        <f t="shared" ref="H50:H65" si="0">IF(OR(ISTEXT(G50),ISNUMBER(G50)), "Yes", "")</f>
        <v/>
      </c>
      <c r="I50" s="42" t="s">
        <v>237</v>
      </c>
      <c r="J50" s="42" t="s">
        <v>9</v>
      </c>
      <c r="K50" s="42"/>
      <c r="L50" s="42"/>
      <c r="M50" s="42"/>
      <c r="N50" s="42"/>
      <c r="O50" s="42"/>
    </row>
    <row r="51" spans="1:225">
      <c r="A51" s="35"/>
      <c r="B51" s="35"/>
      <c r="C51" s="35"/>
      <c r="D51" s="35"/>
      <c r="E51" s="39" t="s">
        <v>368</v>
      </c>
      <c r="F51" s="39"/>
      <c r="G51" s="183"/>
      <c r="H51" s="172" t="str">
        <f t="shared" si="0"/>
        <v/>
      </c>
      <c r="I51" s="42" t="s">
        <v>237</v>
      </c>
      <c r="J51" s="42" t="s">
        <v>9</v>
      </c>
      <c r="K51" s="42"/>
      <c r="L51" s="42"/>
      <c r="M51" s="42"/>
      <c r="N51" s="42"/>
      <c r="O51" s="42"/>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c r="BJ51" s="35"/>
      <c r="BK51" s="35"/>
      <c r="BL51" s="35"/>
      <c r="BM51" s="35"/>
      <c r="BN51" s="35"/>
      <c r="BO51" s="35"/>
      <c r="BP51" s="35"/>
      <c r="BQ51" s="35"/>
      <c r="BR51" s="35"/>
      <c r="BS51" s="35"/>
      <c r="BT51" s="35"/>
      <c r="BU51" s="35"/>
      <c r="BV51" s="35"/>
      <c r="BW51" s="35"/>
      <c r="BX51" s="35"/>
      <c r="BY51" s="35"/>
      <c r="BZ51" s="35"/>
      <c r="CA51" s="35"/>
      <c r="CB51" s="35"/>
      <c r="CC51" s="35"/>
      <c r="CD51" s="35"/>
      <c r="CE51" s="35"/>
      <c r="CF51" s="35"/>
      <c r="CG51" s="35"/>
      <c r="CH51" s="35"/>
      <c r="CI51" s="35"/>
      <c r="CJ51" s="35"/>
      <c r="CK51" s="35"/>
      <c r="CL51" s="35"/>
      <c r="CM51" s="35"/>
      <c r="CN51" s="35"/>
      <c r="CO51" s="35"/>
      <c r="CP51" s="35"/>
      <c r="CQ51" s="35"/>
      <c r="CR51" s="35"/>
      <c r="CS51" s="35"/>
      <c r="CT51" s="35"/>
      <c r="CU51" s="35"/>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c r="EF51" s="35"/>
      <c r="EG51" s="35"/>
      <c r="EH51" s="35"/>
      <c r="EI51" s="35"/>
      <c r="EJ51" s="35"/>
      <c r="EK51" s="35"/>
      <c r="EL51" s="35"/>
      <c r="EM51" s="35"/>
      <c r="EN51" s="35"/>
      <c r="EO51" s="35"/>
      <c r="EP51" s="35"/>
      <c r="EQ51" s="35"/>
      <c r="ER51" s="35"/>
      <c r="ES51" s="35"/>
      <c r="ET51" s="35"/>
      <c r="EU51" s="35"/>
      <c r="EV51" s="35"/>
      <c r="EW51" s="35"/>
      <c r="EX51" s="35"/>
      <c r="EY51" s="35"/>
      <c r="EZ51" s="35"/>
      <c r="FA51" s="35"/>
      <c r="FB51" s="35"/>
      <c r="FC51" s="35"/>
      <c r="FD51" s="35"/>
      <c r="FE51" s="35"/>
      <c r="FF51" s="35"/>
      <c r="FG51" s="35"/>
      <c r="FH51" s="35"/>
      <c r="FI51" s="35"/>
      <c r="FJ51" s="35"/>
      <c r="FK51" s="35"/>
      <c r="FL51" s="35"/>
      <c r="FM51" s="35"/>
      <c r="FN51" s="35"/>
      <c r="FO51" s="35"/>
      <c r="FP51" s="35"/>
      <c r="FQ51" s="35"/>
      <c r="FR51" s="35"/>
      <c r="FS51" s="35"/>
      <c r="FT51" s="35"/>
      <c r="FU51" s="35"/>
      <c r="FV51" s="35"/>
      <c r="FW51" s="35"/>
      <c r="FX51" s="35"/>
      <c r="FY51" s="35"/>
      <c r="FZ51" s="35"/>
      <c r="GA51" s="35"/>
      <c r="GB51" s="35"/>
      <c r="GC51" s="35"/>
      <c r="GD51" s="35"/>
      <c r="GE51" s="35"/>
      <c r="GF51" s="35"/>
      <c r="GG51" s="35"/>
      <c r="GH51" s="35"/>
      <c r="GI51" s="35"/>
      <c r="GJ51" s="35"/>
      <c r="GK51" s="35"/>
      <c r="GL51" s="35"/>
      <c r="GM51" s="35"/>
      <c r="GN51" s="35"/>
      <c r="GO51" s="35"/>
      <c r="GP51" s="35"/>
      <c r="GQ51" s="35"/>
      <c r="GR51" s="35"/>
      <c r="GS51" s="35"/>
      <c r="GT51" s="35"/>
      <c r="GU51" s="35"/>
      <c r="GV51" s="35"/>
      <c r="GW51" s="35"/>
      <c r="GX51" s="35"/>
      <c r="GY51" s="35"/>
      <c r="GZ51" s="35"/>
      <c r="HA51" s="35"/>
      <c r="HB51" s="35"/>
      <c r="HC51" s="35"/>
      <c r="HD51" s="35"/>
      <c r="HE51" s="35"/>
      <c r="HF51" s="35"/>
      <c r="HG51" s="35"/>
      <c r="HH51" s="35"/>
      <c r="HI51" s="35"/>
      <c r="HJ51" s="35"/>
      <c r="HK51" s="35"/>
      <c r="HL51" s="35"/>
      <c r="HM51" s="35"/>
      <c r="HN51" s="35"/>
      <c r="HO51" s="35"/>
      <c r="HP51" s="35"/>
      <c r="HQ51" s="35"/>
    </row>
    <row r="52" spans="1:225">
      <c r="A52" s="35"/>
      <c r="B52" s="35"/>
      <c r="C52" s="35"/>
      <c r="D52" s="35"/>
      <c r="E52" s="39" t="s">
        <v>369</v>
      </c>
      <c r="F52" s="39"/>
      <c r="G52" s="183"/>
      <c r="H52" s="172" t="str">
        <f t="shared" si="0"/>
        <v/>
      </c>
      <c r="I52" s="42" t="s">
        <v>237</v>
      </c>
      <c r="J52" s="42" t="s">
        <v>9</v>
      </c>
      <c r="K52" s="42"/>
      <c r="L52" s="42"/>
      <c r="M52" s="42"/>
      <c r="N52" s="42"/>
      <c r="O52" s="42"/>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c r="BT52" s="35"/>
      <c r="BU52" s="35"/>
      <c r="BV52" s="35"/>
      <c r="BW52" s="35"/>
      <c r="BX52" s="35"/>
      <c r="BY52" s="35"/>
      <c r="BZ52" s="35"/>
      <c r="CA52" s="35"/>
      <c r="CB52" s="35"/>
      <c r="CC52" s="35"/>
      <c r="CD52" s="35"/>
      <c r="CE52" s="35"/>
      <c r="CF52" s="35"/>
      <c r="CG52" s="35"/>
      <c r="CH52" s="35"/>
      <c r="CI52" s="35"/>
      <c r="CJ52" s="35"/>
      <c r="CK52" s="35"/>
      <c r="CL52" s="35"/>
      <c r="CM52" s="35"/>
      <c r="CN52" s="35"/>
      <c r="CO52" s="35"/>
      <c r="CP52" s="35"/>
      <c r="CQ52" s="35"/>
      <c r="CR52" s="35"/>
      <c r="CS52" s="35"/>
      <c r="CT52" s="35"/>
      <c r="CU52" s="35"/>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c r="EF52" s="35"/>
      <c r="EG52" s="35"/>
      <c r="EH52" s="35"/>
      <c r="EI52" s="35"/>
      <c r="EJ52" s="35"/>
      <c r="EK52" s="35"/>
      <c r="EL52" s="35"/>
      <c r="EM52" s="35"/>
      <c r="EN52" s="35"/>
      <c r="EO52" s="35"/>
      <c r="EP52" s="35"/>
      <c r="EQ52" s="35"/>
      <c r="ER52" s="35"/>
      <c r="ES52" s="35"/>
      <c r="ET52" s="35"/>
      <c r="EU52" s="35"/>
      <c r="EV52" s="35"/>
      <c r="EW52" s="35"/>
      <c r="EX52" s="35"/>
      <c r="EY52" s="35"/>
      <c r="EZ52" s="35"/>
      <c r="FA52" s="35"/>
      <c r="FB52" s="35"/>
      <c r="FC52" s="35"/>
      <c r="FD52" s="35"/>
      <c r="FE52" s="35"/>
      <c r="FF52" s="35"/>
      <c r="FG52" s="35"/>
      <c r="FH52" s="35"/>
      <c r="FI52" s="35"/>
      <c r="FJ52" s="35"/>
      <c r="FK52" s="35"/>
      <c r="FL52" s="35"/>
      <c r="FM52" s="35"/>
      <c r="FN52" s="35"/>
      <c r="FO52" s="35"/>
      <c r="FP52" s="35"/>
      <c r="FQ52" s="35"/>
      <c r="FR52" s="35"/>
      <c r="FS52" s="35"/>
      <c r="FT52" s="35"/>
      <c r="FU52" s="35"/>
      <c r="FV52" s="35"/>
      <c r="FW52" s="35"/>
      <c r="FX52" s="35"/>
      <c r="FY52" s="35"/>
      <c r="FZ52" s="35"/>
      <c r="GA52" s="35"/>
      <c r="GB52" s="35"/>
      <c r="GC52" s="35"/>
      <c r="GD52" s="35"/>
      <c r="GE52" s="35"/>
      <c r="GF52" s="35"/>
      <c r="GG52" s="35"/>
      <c r="GH52" s="35"/>
      <c r="GI52" s="35"/>
      <c r="GJ52" s="35"/>
      <c r="GK52" s="35"/>
      <c r="GL52" s="35"/>
      <c r="GM52" s="35"/>
      <c r="GN52" s="35"/>
      <c r="GO52" s="35"/>
      <c r="GP52" s="35"/>
      <c r="GQ52" s="35"/>
      <c r="GR52" s="35"/>
      <c r="GS52" s="35"/>
      <c r="GT52" s="35"/>
      <c r="GU52" s="35"/>
      <c r="GV52" s="35"/>
      <c r="GW52" s="35"/>
      <c r="GX52" s="35"/>
      <c r="GY52" s="35"/>
      <c r="GZ52" s="35"/>
      <c r="HA52" s="35"/>
      <c r="HB52" s="35"/>
      <c r="HC52" s="35"/>
      <c r="HD52" s="35"/>
      <c r="HE52" s="35"/>
      <c r="HF52" s="35"/>
      <c r="HG52" s="35"/>
      <c r="HH52" s="35"/>
      <c r="HI52" s="35"/>
      <c r="HJ52" s="35"/>
      <c r="HK52" s="35"/>
      <c r="HL52" s="35"/>
      <c r="HM52" s="35"/>
      <c r="HN52" s="35"/>
      <c r="HO52" s="35"/>
      <c r="HP52" s="35"/>
      <c r="HQ52" s="35"/>
    </row>
    <row r="53" spans="1:225">
      <c r="A53" s="35"/>
      <c r="B53" s="35"/>
      <c r="C53" s="35"/>
      <c r="D53" s="35"/>
      <c r="E53" s="39" t="s">
        <v>370</v>
      </c>
      <c r="F53" s="39"/>
      <c r="G53" s="183"/>
      <c r="H53" s="172" t="str">
        <f t="shared" si="0"/>
        <v/>
      </c>
      <c r="I53" s="42" t="s">
        <v>237</v>
      </c>
      <c r="J53" s="42" t="s">
        <v>9</v>
      </c>
      <c r="K53" s="42"/>
      <c r="L53" s="42"/>
      <c r="M53" s="42"/>
      <c r="N53" s="42"/>
      <c r="O53" s="42"/>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c r="BJ53" s="35"/>
      <c r="BK53" s="35"/>
      <c r="BL53" s="35"/>
      <c r="BM53" s="35"/>
      <c r="BN53" s="35"/>
      <c r="BO53" s="35"/>
      <c r="BP53" s="35"/>
      <c r="BQ53" s="35"/>
      <c r="BR53" s="35"/>
      <c r="BS53" s="35"/>
      <c r="BT53" s="35"/>
      <c r="BU53" s="35"/>
      <c r="BV53" s="35"/>
      <c r="BW53" s="35"/>
      <c r="BX53" s="35"/>
      <c r="BY53" s="35"/>
      <c r="BZ53" s="35"/>
      <c r="CA53" s="35"/>
      <c r="CB53" s="35"/>
      <c r="CC53" s="35"/>
      <c r="CD53" s="35"/>
      <c r="CE53" s="35"/>
      <c r="CF53" s="35"/>
      <c r="CG53" s="35"/>
      <c r="CH53" s="35"/>
      <c r="CI53" s="35"/>
      <c r="CJ53" s="35"/>
      <c r="CK53" s="35"/>
      <c r="CL53" s="35"/>
      <c r="CM53" s="35"/>
      <c r="CN53" s="35"/>
      <c r="CO53" s="35"/>
      <c r="CP53" s="35"/>
      <c r="CQ53" s="35"/>
      <c r="CR53" s="35"/>
      <c r="CS53" s="35"/>
      <c r="CT53" s="35"/>
      <c r="CU53" s="35"/>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c r="EF53" s="35"/>
      <c r="EG53" s="35"/>
      <c r="EH53" s="35"/>
      <c r="EI53" s="35"/>
      <c r="EJ53" s="35"/>
      <c r="EK53" s="35"/>
      <c r="EL53" s="35"/>
      <c r="EM53" s="35"/>
      <c r="EN53" s="35"/>
      <c r="EO53" s="35"/>
      <c r="EP53" s="35"/>
      <c r="EQ53" s="35"/>
      <c r="ER53" s="35"/>
      <c r="ES53" s="35"/>
      <c r="ET53" s="35"/>
      <c r="EU53" s="35"/>
      <c r="EV53" s="35"/>
      <c r="EW53" s="35"/>
      <c r="EX53" s="35"/>
      <c r="EY53" s="35"/>
      <c r="EZ53" s="35"/>
      <c r="FA53" s="35"/>
      <c r="FB53" s="35"/>
      <c r="FC53" s="35"/>
      <c r="FD53" s="35"/>
      <c r="FE53" s="35"/>
      <c r="FF53" s="35"/>
      <c r="FG53" s="35"/>
      <c r="FH53" s="35"/>
      <c r="FI53" s="35"/>
      <c r="FJ53" s="35"/>
      <c r="FK53" s="35"/>
      <c r="FL53" s="35"/>
      <c r="FM53" s="35"/>
      <c r="FN53" s="35"/>
      <c r="FO53" s="35"/>
      <c r="FP53" s="35"/>
      <c r="FQ53" s="35"/>
      <c r="FR53" s="35"/>
      <c r="FS53" s="35"/>
      <c r="FT53" s="35"/>
      <c r="FU53" s="35"/>
      <c r="FV53" s="35"/>
      <c r="FW53" s="35"/>
      <c r="FX53" s="35"/>
      <c r="FY53" s="35"/>
      <c r="FZ53" s="35"/>
      <c r="GA53" s="35"/>
      <c r="GB53" s="35"/>
      <c r="GC53" s="35"/>
      <c r="GD53" s="35"/>
      <c r="GE53" s="35"/>
      <c r="GF53" s="35"/>
      <c r="GG53" s="35"/>
      <c r="GH53" s="35"/>
      <c r="GI53" s="35"/>
      <c r="GJ53" s="35"/>
      <c r="GK53" s="35"/>
      <c r="GL53" s="35"/>
      <c r="GM53" s="35"/>
      <c r="GN53" s="35"/>
      <c r="GO53" s="35"/>
      <c r="GP53" s="35"/>
      <c r="GQ53" s="35"/>
      <c r="GR53" s="35"/>
      <c r="GS53" s="35"/>
      <c r="GT53" s="35"/>
      <c r="GU53" s="35"/>
      <c r="GV53" s="35"/>
      <c r="GW53" s="35"/>
      <c r="GX53" s="35"/>
      <c r="GY53" s="35"/>
      <c r="GZ53" s="35"/>
      <c r="HA53" s="35"/>
      <c r="HB53" s="35"/>
      <c r="HC53" s="35"/>
      <c r="HD53" s="35"/>
      <c r="HE53" s="35"/>
      <c r="HF53" s="35"/>
      <c r="HG53" s="35"/>
      <c r="HH53" s="35"/>
      <c r="HI53" s="35"/>
      <c r="HJ53" s="35"/>
      <c r="HK53" s="35"/>
      <c r="HL53" s="35"/>
      <c r="HM53" s="35"/>
      <c r="HN53" s="35"/>
      <c r="HO53" s="35"/>
      <c r="HP53" s="35"/>
      <c r="HQ53" s="35"/>
    </row>
    <row r="54" spans="1:225">
      <c r="A54" s="35"/>
      <c r="B54" s="35"/>
      <c r="C54" s="35"/>
      <c r="D54" s="35"/>
      <c r="E54" s="39" t="s">
        <v>371</v>
      </c>
      <c r="F54" s="39"/>
      <c r="G54" s="183"/>
      <c r="H54" s="172" t="str">
        <f t="shared" si="0"/>
        <v/>
      </c>
      <c r="I54" s="42" t="s">
        <v>237</v>
      </c>
      <c r="J54" s="42" t="s">
        <v>9</v>
      </c>
      <c r="K54" s="42"/>
      <c r="L54" s="42"/>
      <c r="M54" s="42"/>
      <c r="N54" s="42"/>
      <c r="O54" s="42"/>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35"/>
      <c r="CG54" s="35"/>
      <c r="CH54" s="35"/>
      <c r="CI54" s="35"/>
      <c r="CJ54" s="35"/>
      <c r="CK54" s="35"/>
      <c r="CL54" s="35"/>
      <c r="CM54" s="35"/>
      <c r="CN54" s="35"/>
      <c r="CO54" s="35"/>
      <c r="CP54" s="35"/>
      <c r="CQ54" s="35"/>
      <c r="CR54" s="35"/>
      <c r="CS54" s="35"/>
      <c r="CT54" s="35"/>
      <c r="CU54" s="35"/>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c r="EF54" s="35"/>
      <c r="EG54" s="35"/>
      <c r="EH54" s="35"/>
      <c r="EI54" s="35"/>
      <c r="EJ54" s="35"/>
      <c r="EK54" s="35"/>
      <c r="EL54" s="35"/>
      <c r="EM54" s="35"/>
      <c r="EN54" s="35"/>
      <c r="EO54" s="35"/>
      <c r="EP54" s="35"/>
      <c r="EQ54" s="35"/>
      <c r="ER54" s="35"/>
      <c r="ES54" s="35"/>
      <c r="ET54" s="35"/>
      <c r="EU54" s="35"/>
      <c r="EV54" s="35"/>
      <c r="EW54" s="35"/>
      <c r="EX54" s="35"/>
      <c r="EY54" s="35"/>
      <c r="EZ54" s="35"/>
      <c r="FA54" s="35"/>
      <c r="FB54" s="35"/>
      <c r="FC54" s="35"/>
      <c r="FD54" s="35"/>
      <c r="FE54" s="35"/>
      <c r="FF54" s="35"/>
      <c r="FG54" s="35"/>
      <c r="FH54" s="35"/>
      <c r="FI54" s="35"/>
      <c r="FJ54" s="35"/>
      <c r="FK54" s="35"/>
      <c r="FL54" s="35"/>
      <c r="FM54" s="35"/>
      <c r="FN54" s="35"/>
      <c r="FO54" s="35"/>
      <c r="FP54" s="35"/>
      <c r="FQ54" s="35"/>
      <c r="FR54" s="35"/>
      <c r="FS54" s="35"/>
      <c r="FT54" s="35"/>
      <c r="FU54" s="35"/>
      <c r="FV54" s="35"/>
      <c r="FW54" s="35"/>
      <c r="FX54" s="35"/>
      <c r="FY54" s="35"/>
      <c r="FZ54" s="35"/>
      <c r="GA54" s="35"/>
      <c r="GB54" s="35"/>
      <c r="GC54" s="35"/>
      <c r="GD54" s="35"/>
      <c r="GE54" s="35"/>
      <c r="GF54" s="35"/>
      <c r="GG54" s="35"/>
      <c r="GH54" s="35"/>
      <c r="GI54" s="35"/>
      <c r="GJ54" s="35"/>
      <c r="GK54" s="35"/>
      <c r="GL54" s="35"/>
      <c r="GM54" s="35"/>
      <c r="GN54" s="35"/>
      <c r="GO54" s="35"/>
      <c r="GP54" s="35"/>
      <c r="GQ54" s="35"/>
      <c r="GR54" s="35"/>
      <c r="GS54" s="35"/>
      <c r="GT54" s="35"/>
      <c r="GU54" s="35"/>
      <c r="GV54" s="35"/>
      <c r="GW54" s="35"/>
      <c r="GX54" s="35"/>
      <c r="GY54" s="35"/>
      <c r="GZ54" s="35"/>
      <c r="HA54" s="35"/>
      <c r="HB54" s="35"/>
      <c r="HC54" s="35"/>
      <c r="HD54" s="35"/>
      <c r="HE54" s="35"/>
      <c r="HF54" s="35"/>
      <c r="HG54" s="35"/>
      <c r="HH54" s="35"/>
      <c r="HI54" s="35"/>
      <c r="HJ54" s="35"/>
      <c r="HK54" s="35"/>
      <c r="HL54" s="35"/>
      <c r="HM54" s="35"/>
      <c r="HN54" s="35"/>
      <c r="HO54" s="35"/>
      <c r="HP54" s="35"/>
      <c r="HQ54" s="35"/>
    </row>
    <row r="55" spans="1:225">
      <c r="A55" s="35"/>
      <c r="B55" s="35"/>
      <c r="C55" s="35"/>
      <c r="D55" s="35"/>
      <c r="E55" s="39" t="s">
        <v>366</v>
      </c>
      <c r="F55" s="39"/>
      <c r="G55" s="183"/>
      <c r="H55" s="172" t="str">
        <f t="shared" si="0"/>
        <v/>
      </c>
      <c r="I55" s="42" t="s">
        <v>237</v>
      </c>
      <c r="J55" s="42" t="s">
        <v>9</v>
      </c>
      <c r="K55" s="42"/>
      <c r="L55" s="42"/>
      <c r="M55" s="42"/>
      <c r="N55" s="42"/>
      <c r="O55" s="42"/>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c r="BJ55" s="35"/>
      <c r="BK55" s="35"/>
      <c r="BL55" s="35"/>
      <c r="BM55" s="35"/>
      <c r="BN55" s="35"/>
      <c r="BO55" s="35"/>
      <c r="BP55" s="35"/>
      <c r="BQ55" s="35"/>
      <c r="BR55" s="35"/>
      <c r="BS55" s="35"/>
      <c r="BT55" s="35"/>
      <c r="BU55" s="35"/>
      <c r="BV55" s="35"/>
      <c r="BW55" s="35"/>
      <c r="BX55" s="35"/>
      <c r="BY55" s="35"/>
      <c r="BZ55" s="35"/>
      <c r="CA55" s="35"/>
      <c r="CB55" s="35"/>
      <c r="CC55" s="35"/>
      <c r="CD55" s="35"/>
      <c r="CE55" s="35"/>
      <c r="CF55" s="35"/>
      <c r="CG55" s="35"/>
      <c r="CH55" s="35"/>
      <c r="CI55" s="35"/>
      <c r="CJ55" s="35"/>
      <c r="CK55" s="35"/>
      <c r="CL55" s="35"/>
      <c r="CM55" s="35"/>
      <c r="CN55" s="35"/>
      <c r="CO55" s="35"/>
      <c r="CP55" s="35"/>
      <c r="CQ55" s="35"/>
      <c r="CR55" s="35"/>
      <c r="CS55" s="35"/>
      <c r="CT55" s="35"/>
      <c r="CU55" s="35"/>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c r="EF55" s="35"/>
      <c r="EG55" s="35"/>
      <c r="EH55" s="35"/>
      <c r="EI55" s="35"/>
      <c r="EJ55" s="35"/>
      <c r="EK55" s="35"/>
      <c r="EL55" s="35"/>
      <c r="EM55" s="35"/>
      <c r="EN55" s="35"/>
      <c r="EO55" s="35"/>
      <c r="EP55" s="35"/>
      <c r="EQ55" s="35"/>
      <c r="ER55" s="35"/>
      <c r="ES55" s="35"/>
      <c r="ET55" s="35"/>
      <c r="EU55" s="35"/>
      <c r="EV55" s="35"/>
      <c r="EW55" s="35"/>
      <c r="EX55" s="35"/>
      <c r="EY55" s="35"/>
      <c r="EZ55" s="35"/>
      <c r="FA55" s="35"/>
      <c r="FB55" s="35"/>
      <c r="FC55" s="35"/>
      <c r="FD55" s="35"/>
      <c r="FE55" s="35"/>
      <c r="FF55" s="35"/>
      <c r="FG55" s="35"/>
      <c r="FH55" s="35"/>
      <c r="FI55" s="35"/>
      <c r="FJ55" s="35"/>
      <c r="FK55" s="35"/>
      <c r="FL55" s="35"/>
      <c r="FM55" s="35"/>
      <c r="FN55" s="35"/>
      <c r="FO55" s="35"/>
      <c r="FP55" s="35"/>
      <c r="FQ55" s="35"/>
      <c r="FR55" s="35"/>
      <c r="FS55" s="35"/>
      <c r="FT55" s="35"/>
      <c r="FU55" s="35"/>
      <c r="FV55" s="35"/>
      <c r="FW55" s="35"/>
      <c r="FX55" s="35"/>
      <c r="FY55" s="35"/>
      <c r="FZ55" s="35"/>
      <c r="GA55" s="35"/>
      <c r="GB55" s="35"/>
      <c r="GC55" s="35"/>
      <c r="GD55" s="35"/>
      <c r="GE55" s="35"/>
      <c r="GF55" s="35"/>
      <c r="GG55" s="35"/>
      <c r="GH55" s="35"/>
      <c r="GI55" s="35"/>
      <c r="GJ55" s="35"/>
      <c r="GK55" s="35"/>
      <c r="GL55" s="35"/>
      <c r="GM55" s="35"/>
      <c r="GN55" s="35"/>
      <c r="GO55" s="35"/>
      <c r="GP55" s="35"/>
      <c r="GQ55" s="35"/>
      <c r="GR55" s="35"/>
      <c r="GS55" s="35"/>
      <c r="GT55" s="35"/>
      <c r="GU55" s="35"/>
      <c r="GV55" s="35"/>
      <c r="GW55" s="35"/>
      <c r="GX55" s="35"/>
      <c r="GY55" s="35"/>
      <c r="GZ55" s="35"/>
      <c r="HA55" s="35"/>
      <c r="HB55" s="35"/>
      <c r="HC55" s="35"/>
      <c r="HD55" s="35"/>
      <c r="HE55" s="35"/>
      <c r="HF55" s="35"/>
      <c r="HG55" s="35"/>
      <c r="HH55" s="35"/>
      <c r="HI55" s="35"/>
      <c r="HJ55" s="35"/>
      <c r="HK55" s="35"/>
      <c r="HL55" s="35"/>
      <c r="HM55" s="35"/>
      <c r="HN55" s="35"/>
      <c r="HO55" s="35"/>
      <c r="HP55" s="35"/>
      <c r="HQ55" s="35"/>
    </row>
    <row r="56" spans="1:225">
      <c r="A56" s="35"/>
      <c r="B56" s="35"/>
      <c r="C56" s="35"/>
      <c r="D56" s="35"/>
      <c r="E56" s="39" t="s">
        <v>372</v>
      </c>
      <c r="F56" s="39"/>
      <c r="G56" s="183"/>
      <c r="H56" s="172" t="str">
        <f t="shared" si="0"/>
        <v/>
      </c>
      <c r="I56" s="42" t="s">
        <v>237</v>
      </c>
      <c r="J56" s="42" t="s">
        <v>9</v>
      </c>
      <c r="K56" s="42"/>
      <c r="L56" s="42"/>
      <c r="M56" s="42"/>
      <c r="N56" s="42"/>
      <c r="O56" s="42"/>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c r="BJ56" s="35"/>
      <c r="BK56" s="35"/>
      <c r="BL56" s="35"/>
      <c r="BM56" s="35"/>
      <c r="BN56" s="35"/>
      <c r="BO56" s="35"/>
      <c r="BP56" s="35"/>
      <c r="BQ56" s="35"/>
      <c r="BR56" s="35"/>
      <c r="BS56" s="35"/>
      <c r="BT56" s="35"/>
      <c r="BU56" s="35"/>
      <c r="BV56" s="35"/>
      <c r="BW56" s="35"/>
      <c r="BX56" s="35"/>
      <c r="BY56" s="35"/>
      <c r="BZ56" s="35"/>
      <c r="CA56" s="35"/>
      <c r="CB56" s="35"/>
      <c r="CC56" s="35"/>
      <c r="CD56" s="35"/>
      <c r="CE56" s="35"/>
      <c r="CF56" s="35"/>
      <c r="CG56" s="35"/>
      <c r="CH56" s="35"/>
      <c r="CI56" s="35"/>
      <c r="CJ56" s="35"/>
      <c r="CK56" s="35"/>
      <c r="CL56" s="35"/>
      <c r="CM56" s="35"/>
      <c r="CN56" s="35"/>
      <c r="CO56" s="35"/>
      <c r="CP56" s="35"/>
      <c r="CQ56" s="35"/>
      <c r="CR56" s="35"/>
      <c r="CS56" s="35"/>
      <c r="CT56" s="35"/>
      <c r="CU56" s="35"/>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c r="EF56" s="35"/>
      <c r="EG56" s="35"/>
      <c r="EH56" s="35"/>
      <c r="EI56" s="35"/>
      <c r="EJ56" s="35"/>
      <c r="EK56" s="35"/>
      <c r="EL56" s="35"/>
      <c r="EM56" s="35"/>
      <c r="EN56" s="35"/>
      <c r="EO56" s="35"/>
      <c r="EP56" s="35"/>
      <c r="EQ56" s="35"/>
      <c r="ER56" s="35"/>
      <c r="ES56" s="35"/>
      <c r="ET56" s="35"/>
      <c r="EU56" s="35"/>
      <c r="EV56" s="35"/>
      <c r="EW56" s="35"/>
      <c r="EX56" s="35"/>
      <c r="EY56" s="35"/>
      <c r="EZ56" s="35"/>
      <c r="FA56" s="35"/>
      <c r="FB56" s="35"/>
      <c r="FC56" s="35"/>
      <c r="FD56" s="35"/>
      <c r="FE56" s="35"/>
      <c r="FF56" s="35"/>
      <c r="FG56" s="35"/>
      <c r="FH56" s="35"/>
      <c r="FI56" s="35"/>
      <c r="FJ56" s="35"/>
      <c r="FK56" s="35"/>
      <c r="FL56" s="35"/>
      <c r="FM56" s="35"/>
      <c r="FN56" s="35"/>
      <c r="FO56" s="35"/>
      <c r="FP56" s="35"/>
      <c r="FQ56" s="35"/>
      <c r="FR56" s="35"/>
      <c r="FS56" s="35"/>
      <c r="FT56" s="35"/>
      <c r="FU56" s="35"/>
      <c r="FV56" s="35"/>
      <c r="FW56" s="35"/>
      <c r="FX56" s="35"/>
      <c r="FY56" s="35"/>
      <c r="FZ56" s="35"/>
      <c r="GA56" s="35"/>
      <c r="GB56" s="35"/>
      <c r="GC56" s="35"/>
      <c r="GD56" s="35"/>
      <c r="GE56" s="35"/>
      <c r="GF56" s="35"/>
      <c r="GG56" s="35"/>
      <c r="GH56" s="35"/>
      <c r="GI56" s="35"/>
      <c r="GJ56" s="35"/>
      <c r="GK56" s="35"/>
      <c r="GL56" s="35"/>
      <c r="GM56" s="35"/>
      <c r="GN56" s="35"/>
      <c r="GO56" s="35"/>
      <c r="GP56" s="35"/>
      <c r="GQ56" s="35"/>
      <c r="GR56" s="35"/>
      <c r="GS56" s="35"/>
      <c r="GT56" s="35"/>
      <c r="GU56" s="35"/>
      <c r="GV56" s="35"/>
      <c r="GW56" s="35"/>
      <c r="GX56" s="35"/>
      <c r="GY56" s="35"/>
      <c r="GZ56" s="35"/>
      <c r="HA56" s="35"/>
      <c r="HB56" s="35"/>
      <c r="HC56" s="35"/>
      <c r="HD56" s="35"/>
      <c r="HE56" s="35"/>
      <c r="HF56" s="35"/>
      <c r="HG56" s="35"/>
      <c r="HH56" s="35"/>
      <c r="HI56" s="35"/>
      <c r="HJ56" s="35"/>
      <c r="HK56" s="35"/>
      <c r="HL56" s="35"/>
      <c r="HM56" s="35"/>
      <c r="HN56" s="35"/>
      <c r="HO56" s="35"/>
      <c r="HP56" s="35"/>
      <c r="HQ56" s="35"/>
    </row>
    <row r="57" spans="1:225">
      <c r="A57" s="35"/>
      <c r="B57" s="35"/>
      <c r="C57" s="35"/>
      <c r="D57" s="35"/>
      <c r="E57" s="39" t="s">
        <v>373</v>
      </c>
      <c r="F57" s="39"/>
      <c r="G57" s="183"/>
      <c r="H57" s="172" t="str">
        <f t="shared" si="0"/>
        <v/>
      </c>
      <c r="I57" s="42" t="s">
        <v>237</v>
      </c>
      <c r="J57" s="42" t="s">
        <v>9</v>
      </c>
      <c r="K57" s="42"/>
      <c r="L57" s="42"/>
      <c r="M57" s="42"/>
      <c r="N57" s="42"/>
      <c r="O57" s="42"/>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c r="BJ57" s="35"/>
      <c r="BK57" s="35"/>
      <c r="BL57" s="35"/>
      <c r="BM57" s="35"/>
      <c r="BN57" s="35"/>
      <c r="BO57" s="35"/>
      <c r="BP57" s="35"/>
      <c r="BQ57" s="35"/>
      <c r="BR57" s="35"/>
      <c r="BS57" s="35"/>
      <c r="BT57" s="35"/>
      <c r="BU57" s="35"/>
      <c r="BV57" s="35"/>
      <c r="BW57" s="35"/>
      <c r="BX57" s="35"/>
      <c r="BY57" s="35"/>
      <c r="BZ57" s="35"/>
      <c r="CA57" s="35"/>
      <c r="CB57" s="35"/>
      <c r="CC57" s="35"/>
      <c r="CD57" s="35"/>
      <c r="CE57" s="35"/>
      <c r="CF57" s="35"/>
      <c r="CG57" s="35"/>
      <c r="CH57" s="35"/>
      <c r="CI57" s="35"/>
      <c r="CJ57" s="35"/>
      <c r="CK57" s="35"/>
      <c r="CL57" s="35"/>
      <c r="CM57" s="35"/>
      <c r="CN57" s="35"/>
      <c r="CO57" s="35"/>
      <c r="CP57" s="35"/>
      <c r="CQ57" s="35"/>
      <c r="CR57" s="35"/>
      <c r="CS57" s="35"/>
      <c r="CT57" s="35"/>
      <c r="CU57" s="35"/>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c r="EF57" s="35"/>
      <c r="EG57" s="35"/>
      <c r="EH57" s="35"/>
      <c r="EI57" s="35"/>
      <c r="EJ57" s="35"/>
      <c r="EK57" s="35"/>
      <c r="EL57" s="35"/>
      <c r="EM57" s="35"/>
      <c r="EN57" s="35"/>
      <c r="EO57" s="35"/>
      <c r="EP57" s="35"/>
      <c r="EQ57" s="35"/>
      <c r="ER57" s="35"/>
      <c r="ES57" s="35"/>
      <c r="ET57" s="35"/>
      <c r="EU57" s="35"/>
      <c r="EV57" s="35"/>
      <c r="EW57" s="35"/>
      <c r="EX57" s="35"/>
      <c r="EY57" s="35"/>
      <c r="EZ57" s="35"/>
      <c r="FA57" s="35"/>
      <c r="FB57" s="35"/>
      <c r="FC57" s="35"/>
      <c r="FD57" s="35"/>
      <c r="FE57" s="35"/>
      <c r="FF57" s="35"/>
      <c r="FG57" s="35"/>
      <c r="FH57" s="35"/>
      <c r="FI57" s="35"/>
      <c r="FJ57" s="35"/>
      <c r="FK57" s="35"/>
      <c r="FL57" s="35"/>
      <c r="FM57" s="35"/>
      <c r="FN57" s="35"/>
      <c r="FO57" s="35"/>
      <c r="FP57" s="35"/>
      <c r="FQ57" s="35"/>
      <c r="FR57" s="35"/>
      <c r="FS57" s="35"/>
      <c r="FT57" s="35"/>
      <c r="FU57" s="35"/>
      <c r="FV57" s="35"/>
      <c r="FW57" s="35"/>
      <c r="FX57" s="35"/>
      <c r="FY57" s="35"/>
      <c r="FZ57" s="35"/>
      <c r="GA57" s="35"/>
      <c r="GB57" s="35"/>
      <c r="GC57" s="35"/>
      <c r="GD57" s="35"/>
      <c r="GE57" s="35"/>
      <c r="GF57" s="35"/>
      <c r="GG57" s="35"/>
      <c r="GH57" s="35"/>
      <c r="GI57" s="35"/>
      <c r="GJ57" s="35"/>
      <c r="GK57" s="35"/>
      <c r="GL57" s="35"/>
      <c r="GM57" s="35"/>
      <c r="GN57" s="35"/>
      <c r="GO57" s="35"/>
      <c r="GP57" s="35"/>
      <c r="GQ57" s="35"/>
      <c r="GR57" s="35"/>
      <c r="GS57" s="35"/>
      <c r="GT57" s="35"/>
      <c r="GU57" s="35"/>
      <c r="GV57" s="35"/>
      <c r="GW57" s="35"/>
      <c r="GX57" s="35"/>
      <c r="GY57" s="35"/>
      <c r="GZ57" s="35"/>
      <c r="HA57" s="35"/>
      <c r="HB57" s="35"/>
      <c r="HC57" s="35"/>
      <c r="HD57" s="35"/>
      <c r="HE57" s="35"/>
      <c r="HF57" s="35"/>
      <c r="HG57" s="35"/>
      <c r="HH57" s="35"/>
      <c r="HI57" s="35"/>
      <c r="HJ57" s="35"/>
      <c r="HK57" s="35"/>
      <c r="HL57" s="35"/>
      <c r="HM57" s="35"/>
      <c r="HN57" s="35"/>
      <c r="HO57" s="35"/>
      <c r="HP57" s="35"/>
      <c r="HQ57" s="35"/>
    </row>
    <row r="58" spans="1:225" s="37" customFormat="1" ht="21">
      <c r="H58" s="172"/>
      <c r="I58" s="42"/>
      <c r="J58" s="42"/>
      <c r="K58" s="42"/>
      <c r="L58" s="42"/>
      <c r="M58" s="42"/>
      <c r="N58" s="42"/>
      <c r="O58" s="42"/>
    </row>
    <row r="59" spans="1:225" s="37" customFormat="1" ht="21">
      <c r="C59" s="37">
        <v>2</v>
      </c>
      <c r="E59" s="33" t="s">
        <v>375</v>
      </c>
      <c r="F59" s="33"/>
      <c r="G59" s="183"/>
      <c r="H59" s="172" t="str">
        <f t="shared" si="0"/>
        <v/>
      </c>
      <c r="I59" s="42" t="s">
        <v>376</v>
      </c>
      <c r="J59" s="42" t="s">
        <v>377</v>
      </c>
      <c r="K59" s="42" t="s">
        <v>378</v>
      </c>
      <c r="L59" s="42" t="s">
        <v>379</v>
      </c>
      <c r="M59" s="42"/>
      <c r="N59" s="42"/>
      <c r="O59" s="42"/>
    </row>
    <row r="60" spans="1:225" s="37" customFormat="1" ht="21">
      <c r="C60" s="37">
        <v>3</v>
      </c>
      <c r="E60" s="33" t="s">
        <v>399</v>
      </c>
      <c r="F60" s="33"/>
      <c r="H60" s="172"/>
      <c r="I60" s="42"/>
      <c r="J60" s="42"/>
      <c r="K60" s="42"/>
      <c r="L60" s="42"/>
      <c r="M60" s="42"/>
      <c r="N60" s="42"/>
      <c r="O60" s="42"/>
    </row>
    <row r="61" spans="1:225" s="37" customFormat="1" ht="21">
      <c r="E61" s="39" t="s">
        <v>400</v>
      </c>
      <c r="F61" s="39"/>
      <c r="G61" s="183"/>
      <c r="H61" s="172" t="str">
        <f t="shared" si="0"/>
        <v/>
      </c>
      <c r="I61" s="42" t="s">
        <v>401</v>
      </c>
      <c r="J61" s="42" t="s">
        <v>402</v>
      </c>
      <c r="K61" s="42" t="s">
        <v>403</v>
      </c>
      <c r="L61" s="42"/>
      <c r="M61" s="42"/>
      <c r="N61" s="42"/>
      <c r="O61" s="42"/>
    </row>
    <row r="62" spans="1:225" s="37" customFormat="1" ht="21">
      <c r="E62" s="39" t="s">
        <v>404</v>
      </c>
      <c r="F62" s="39"/>
      <c r="G62" s="183"/>
      <c r="H62" s="172" t="str">
        <f t="shared" si="0"/>
        <v/>
      </c>
      <c r="I62" s="42" t="s">
        <v>405</v>
      </c>
      <c r="J62" s="42" t="s">
        <v>406</v>
      </c>
      <c r="K62" s="42"/>
      <c r="L62" s="42"/>
      <c r="M62" s="42"/>
      <c r="N62" s="42"/>
      <c r="O62" s="42"/>
    </row>
    <row r="63" spans="1:225" s="37" customFormat="1" ht="21">
      <c r="E63" s="39" t="s">
        <v>407</v>
      </c>
      <c r="F63" s="39"/>
      <c r="G63" s="183"/>
      <c r="H63" s="172" t="str">
        <f t="shared" si="0"/>
        <v/>
      </c>
      <c r="I63" s="42" t="s">
        <v>408</v>
      </c>
      <c r="J63" s="42" t="s">
        <v>409</v>
      </c>
      <c r="K63" s="42" t="s">
        <v>410</v>
      </c>
      <c r="L63" s="42" t="s">
        <v>411</v>
      </c>
      <c r="M63" s="42" t="s">
        <v>412</v>
      </c>
      <c r="N63" s="42" t="s">
        <v>413</v>
      </c>
      <c r="O63" s="42" t="s">
        <v>414</v>
      </c>
    </row>
    <row r="64" spans="1:225" s="37" customFormat="1" ht="21">
      <c r="E64" s="39" t="s">
        <v>415</v>
      </c>
      <c r="F64" s="39"/>
      <c r="G64" s="183"/>
      <c r="H64" s="172" t="str">
        <f t="shared" si="0"/>
        <v/>
      </c>
      <c r="I64" s="42" t="s">
        <v>416</v>
      </c>
      <c r="J64" s="42" t="s">
        <v>402</v>
      </c>
      <c r="K64" s="42" t="s">
        <v>417</v>
      </c>
      <c r="L64" s="42" t="s">
        <v>418</v>
      </c>
      <c r="M64" s="42"/>
      <c r="N64" s="42"/>
      <c r="O64" s="42"/>
    </row>
    <row r="65" spans="3:15" s="37" customFormat="1" ht="21">
      <c r="C65" s="37">
        <v>4</v>
      </c>
      <c r="E65" s="33" t="s">
        <v>421</v>
      </c>
      <c r="F65" s="33"/>
      <c r="G65" s="183"/>
      <c r="H65" s="172" t="str">
        <f t="shared" si="0"/>
        <v/>
      </c>
      <c r="I65" s="42" t="s">
        <v>419</v>
      </c>
      <c r="J65" s="42" t="s">
        <v>420</v>
      </c>
      <c r="K65" s="42" t="s">
        <v>422</v>
      </c>
      <c r="L65" s="42"/>
      <c r="M65" s="42"/>
      <c r="N65" s="42"/>
      <c r="O65" s="42"/>
    </row>
    <row r="66" spans="3:15" s="37" customFormat="1" ht="21">
      <c r="H66" s="172"/>
      <c r="I66" s="42"/>
      <c r="J66" s="42"/>
      <c r="K66" s="42"/>
      <c r="L66" s="42"/>
      <c r="M66" s="42"/>
      <c r="N66" s="42"/>
      <c r="O66" s="42"/>
    </row>
    <row r="67" spans="3:15" s="37" customFormat="1" ht="21">
      <c r="H67" s="172"/>
      <c r="I67" s="42"/>
      <c r="J67" s="42"/>
      <c r="K67" s="42"/>
      <c r="L67" s="42"/>
      <c r="M67" s="42"/>
      <c r="N67" s="42"/>
      <c r="O67" s="42"/>
    </row>
    <row r="68" spans="3:15" s="37" customFormat="1" ht="21">
      <c r="H68" s="172"/>
      <c r="I68" s="42"/>
      <c r="J68" s="42"/>
      <c r="K68" s="42"/>
      <c r="L68" s="42"/>
      <c r="M68" s="42"/>
      <c r="N68" s="42"/>
      <c r="O68" s="42"/>
    </row>
    <row r="69" spans="3:15" s="37" customFormat="1" ht="21">
      <c r="C69" s="37">
        <v>5</v>
      </c>
      <c r="E69" s="33" t="s">
        <v>441</v>
      </c>
      <c r="F69" s="33"/>
      <c r="G69" s="183"/>
      <c r="H69" s="172" t="str">
        <f t="shared" ref="H69:H132" si="1">IF(OR(ISTEXT(G69),ISNUMBER(G69)), "Yes", "")</f>
        <v/>
      </c>
      <c r="I69" s="42" t="s">
        <v>327</v>
      </c>
      <c r="J69" s="42" t="s">
        <v>397</v>
      </c>
      <c r="K69" s="42" t="s">
        <v>328</v>
      </c>
      <c r="L69" s="42" t="s">
        <v>398</v>
      </c>
      <c r="M69" s="42"/>
      <c r="N69" s="42"/>
      <c r="O69" s="42"/>
    </row>
    <row r="70" spans="3:15" s="37" customFormat="1" ht="21">
      <c r="E70" s="32" t="s">
        <v>377</v>
      </c>
      <c r="F70" s="32"/>
      <c r="H70" s="172"/>
      <c r="I70" s="42"/>
      <c r="J70" s="42"/>
      <c r="K70" s="42"/>
      <c r="L70" s="42"/>
      <c r="M70" s="42"/>
      <c r="N70" s="42"/>
      <c r="O70" s="42"/>
    </row>
    <row r="71" spans="3:15" s="37" customFormat="1" ht="21">
      <c r="E71" s="39" t="s">
        <v>380</v>
      </c>
      <c r="F71" s="39"/>
      <c r="G71" s="183"/>
      <c r="H71" s="172" t="str">
        <f t="shared" si="1"/>
        <v/>
      </c>
      <c r="I71" s="42"/>
      <c r="J71" s="42"/>
      <c r="K71" s="42"/>
      <c r="L71" s="42"/>
      <c r="M71" s="42"/>
      <c r="N71" s="42"/>
      <c r="O71" s="42"/>
    </row>
    <row r="72" spans="3:15" s="37" customFormat="1" ht="21">
      <c r="E72" s="39" t="s">
        <v>381</v>
      </c>
      <c r="F72" s="39"/>
      <c r="G72" s="183"/>
      <c r="H72" s="172" t="str">
        <f t="shared" si="1"/>
        <v/>
      </c>
      <c r="I72" s="42"/>
      <c r="J72" s="42"/>
      <c r="K72" s="42"/>
      <c r="L72" s="42"/>
      <c r="M72" s="42"/>
      <c r="N72" s="42"/>
      <c r="O72" s="42"/>
    </row>
    <row r="73" spans="3:15" s="37" customFormat="1" ht="21">
      <c r="E73" s="39" t="s">
        <v>382</v>
      </c>
      <c r="F73" s="39"/>
      <c r="G73" s="183"/>
      <c r="H73" s="172" t="str">
        <f t="shared" si="1"/>
        <v/>
      </c>
      <c r="I73" s="42"/>
      <c r="J73" s="42"/>
      <c r="K73" s="42"/>
      <c r="L73" s="42"/>
      <c r="M73" s="42"/>
      <c r="N73" s="42"/>
      <c r="O73" s="42"/>
    </row>
    <row r="74" spans="3:15" s="37" customFormat="1" ht="21">
      <c r="E74" s="32" t="s">
        <v>379</v>
      </c>
      <c r="F74" s="32"/>
      <c r="H74" s="172"/>
      <c r="I74" s="42"/>
      <c r="J74" s="42"/>
      <c r="K74" s="42"/>
      <c r="L74" s="42"/>
      <c r="M74" s="42"/>
      <c r="N74" s="42"/>
      <c r="O74" s="42"/>
    </row>
    <row r="75" spans="3:15" s="37" customFormat="1" ht="21">
      <c r="E75" s="39" t="s">
        <v>383</v>
      </c>
      <c r="F75" s="39"/>
      <c r="G75" s="183"/>
      <c r="H75" s="172" t="str">
        <f t="shared" si="1"/>
        <v/>
      </c>
      <c r="I75" s="42"/>
      <c r="J75" s="42"/>
      <c r="K75" s="42"/>
      <c r="L75" s="42"/>
      <c r="M75" s="42"/>
      <c r="N75" s="42"/>
      <c r="O75" s="42"/>
    </row>
    <row r="76" spans="3:15" s="37" customFormat="1" ht="21">
      <c r="E76" s="39" t="s">
        <v>384</v>
      </c>
      <c r="F76" s="39"/>
      <c r="G76" s="183"/>
      <c r="H76" s="172" t="str">
        <f t="shared" si="1"/>
        <v/>
      </c>
      <c r="I76" s="42"/>
      <c r="J76" s="42"/>
      <c r="K76" s="42"/>
      <c r="L76" s="42"/>
      <c r="M76" s="42"/>
      <c r="N76" s="42"/>
      <c r="O76" s="42"/>
    </row>
    <row r="77" spans="3:15" s="37" customFormat="1" ht="21">
      <c r="E77" s="32" t="s">
        <v>385</v>
      </c>
      <c r="F77" s="32"/>
      <c r="H77" s="172"/>
      <c r="I77" s="42"/>
      <c r="J77" s="42"/>
      <c r="K77" s="42"/>
      <c r="L77" s="42"/>
      <c r="M77" s="42"/>
      <c r="N77" s="42"/>
      <c r="O77" s="42"/>
    </row>
    <row r="78" spans="3:15" s="37" customFormat="1" ht="21">
      <c r="E78" s="39" t="s">
        <v>386</v>
      </c>
      <c r="F78" s="39"/>
      <c r="G78" s="183"/>
      <c r="H78" s="172" t="str">
        <f t="shared" si="1"/>
        <v/>
      </c>
      <c r="I78" s="42"/>
      <c r="J78" s="42"/>
      <c r="K78" s="42"/>
      <c r="L78" s="42"/>
      <c r="M78" s="42"/>
      <c r="N78" s="42"/>
      <c r="O78" s="42"/>
    </row>
    <row r="79" spans="3:15" s="37" customFormat="1" ht="21">
      <c r="E79" s="39" t="s">
        <v>329</v>
      </c>
      <c r="F79" s="39"/>
      <c r="G79" s="183"/>
      <c r="H79" s="172" t="str">
        <f t="shared" si="1"/>
        <v/>
      </c>
      <c r="I79" s="42"/>
      <c r="J79" s="42"/>
      <c r="K79" s="42"/>
      <c r="L79" s="42"/>
      <c r="M79" s="42"/>
      <c r="N79" s="42"/>
      <c r="O79" s="42"/>
    </row>
    <row r="80" spans="3:15" s="37" customFormat="1" ht="21">
      <c r="E80" s="39" t="s">
        <v>387</v>
      </c>
      <c r="F80" s="39"/>
      <c r="G80" s="183"/>
      <c r="H80" s="172" t="str">
        <f t="shared" si="1"/>
        <v/>
      </c>
      <c r="I80" s="42"/>
      <c r="J80" s="42"/>
      <c r="K80" s="42"/>
      <c r="L80" s="42"/>
      <c r="M80" s="42"/>
      <c r="N80" s="42"/>
      <c r="O80" s="42"/>
    </row>
    <row r="81" spans="3:15" s="37" customFormat="1" ht="21">
      <c r="E81" s="39" t="s">
        <v>388</v>
      </c>
      <c r="F81" s="39"/>
      <c r="G81" s="183"/>
      <c r="H81" s="172" t="str">
        <f t="shared" si="1"/>
        <v/>
      </c>
      <c r="I81" s="42"/>
      <c r="J81" s="42"/>
      <c r="K81" s="42"/>
      <c r="L81" s="42"/>
      <c r="M81" s="42"/>
      <c r="N81" s="42"/>
      <c r="O81" s="42"/>
    </row>
    <row r="82" spans="3:15" s="37" customFormat="1" ht="21">
      <c r="E82" s="39" t="s">
        <v>389</v>
      </c>
      <c r="F82" s="39"/>
      <c r="G82" s="183"/>
      <c r="H82" s="172" t="str">
        <f t="shared" si="1"/>
        <v/>
      </c>
      <c r="I82" s="42"/>
      <c r="J82" s="42"/>
      <c r="K82" s="42"/>
      <c r="L82" s="42"/>
      <c r="M82" s="42"/>
      <c r="N82" s="42"/>
      <c r="O82" s="42"/>
    </row>
    <row r="83" spans="3:15" s="37" customFormat="1" ht="21">
      <c r="E83" s="39" t="s">
        <v>390</v>
      </c>
      <c r="F83" s="39"/>
      <c r="G83" s="183"/>
      <c r="H83" s="172" t="str">
        <f t="shared" si="1"/>
        <v/>
      </c>
      <c r="I83" s="42"/>
      <c r="J83" s="42"/>
      <c r="K83" s="42"/>
      <c r="L83" s="42"/>
      <c r="M83" s="42"/>
      <c r="N83" s="42"/>
      <c r="O83" s="42"/>
    </row>
    <row r="84" spans="3:15" s="37" customFormat="1" ht="21">
      <c r="E84" s="32" t="s">
        <v>391</v>
      </c>
      <c r="F84" s="32"/>
      <c r="H84" s="172"/>
      <c r="I84" s="42"/>
      <c r="J84" s="42"/>
      <c r="K84" s="42"/>
      <c r="L84" s="42"/>
      <c r="M84" s="42"/>
      <c r="N84" s="42"/>
      <c r="O84" s="42"/>
    </row>
    <row r="85" spans="3:15" s="37" customFormat="1" ht="21">
      <c r="E85" s="39" t="s">
        <v>392</v>
      </c>
      <c r="F85" s="39"/>
      <c r="G85" s="183"/>
      <c r="H85" s="172" t="str">
        <f t="shared" si="1"/>
        <v/>
      </c>
      <c r="I85" s="42"/>
      <c r="J85" s="42"/>
      <c r="K85" s="42"/>
      <c r="L85" s="42"/>
      <c r="M85" s="42"/>
      <c r="N85" s="42"/>
      <c r="O85" s="42"/>
    </row>
    <row r="86" spans="3:15" s="37" customFormat="1" ht="21">
      <c r="E86" s="39" t="s">
        <v>393</v>
      </c>
      <c r="F86" s="39"/>
      <c r="G86" s="183"/>
      <c r="H86" s="172" t="str">
        <f t="shared" si="1"/>
        <v/>
      </c>
      <c r="I86" s="42"/>
      <c r="J86" s="42"/>
      <c r="K86" s="42"/>
      <c r="L86" s="42"/>
      <c r="M86" s="42"/>
      <c r="N86" s="42"/>
      <c r="O86" s="42"/>
    </row>
    <row r="87" spans="3:15" s="37" customFormat="1" ht="21">
      <c r="E87" s="39" t="s">
        <v>394</v>
      </c>
      <c r="F87" s="39"/>
      <c r="G87" s="183"/>
      <c r="H87" s="172" t="str">
        <f t="shared" si="1"/>
        <v/>
      </c>
      <c r="I87" s="42"/>
      <c r="J87" s="42"/>
      <c r="K87" s="42"/>
      <c r="L87" s="42"/>
      <c r="M87" s="42"/>
      <c r="N87" s="42"/>
      <c r="O87" s="42"/>
    </row>
    <row r="88" spans="3:15" s="37" customFormat="1" ht="21">
      <c r="E88" s="39" t="s">
        <v>395</v>
      </c>
      <c r="F88" s="39"/>
      <c r="G88" s="183"/>
      <c r="H88" s="172" t="str">
        <f t="shared" si="1"/>
        <v/>
      </c>
      <c r="I88" s="42"/>
      <c r="J88" s="42"/>
      <c r="K88" s="42"/>
      <c r="L88" s="42"/>
      <c r="M88" s="42"/>
      <c r="N88" s="42"/>
      <c r="O88" s="42"/>
    </row>
    <row r="89" spans="3:15" s="37" customFormat="1" ht="21">
      <c r="C89" s="37">
        <v>6</v>
      </c>
      <c r="E89" s="33" t="s">
        <v>396</v>
      </c>
      <c r="F89" s="33"/>
      <c r="G89" s="183"/>
      <c r="H89" s="172" t="str">
        <f t="shared" si="1"/>
        <v/>
      </c>
      <c r="I89" s="42" t="s">
        <v>327</v>
      </c>
      <c r="J89" s="42" t="s">
        <v>397</v>
      </c>
      <c r="K89" s="42" t="s">
        <v>328</v>
      </c>
      <c r="L89" s="42" t="s">
        <v>398</v>
      </c>
      <c r="M89" s="42"/>
      <c r="N89" s="42"/>
      <c r="O89" s="42"/>
    </row>
    <row r="90" spans="3:15" s="37" customFormat="1" ht="21">
      <c r="E90" s="32" t="s">
        <v>377</v>
      </c>
      <c r="F90" s="32"/>
      <c r="H90" s="172"/>
      <c r="I90" s="42"/>
      <c r="J90" s="42"/>
      <c r="K90" s="42"/>
      <c r="L90" s="42"/>
      <c r="M90" s="42"/>
      <c r="N90" s="42"/>
      <c r="O90" s="42"/>
    </row>
    <row r="91" spans="3:15" s="37" customFormat="1" ht="21">
      <c r="E91" s="39" t="s">
        <v>380</v>
      </c>
      <c r="F91" s="39"/>
      <c r="G91" s="184"/>
      <c r="H91" s="172" t="str">
        <f t="shared" si="1"/>
        <v/>
      </c>
      <c r="I91" s="42"/>
      <c r="J91" s="42"/>
      <c r="K91" s="42"/>
      <c r="L91" s="42"/>
      <c r="M91" s="42"/>
      <c r="N91" s="42"/>
      <c r="O91" s="42"/>
    </row>
    <row r="92" spans="3:15" s="37" customFormat="1" ht="21">
      <c r="E92" s="39" t="s">
        <v>381</v>
      </c>
      <c r="F92" s="39"/>
      <c r="G92" s="184"/>
      <c r="H92" s="172" t="str">
        <f t="shared" si="1"/>
        <v/>
      </c>
      <c r="I92" s="42"/>
      <c r="J92" s="42"/>
      <c r="K92" s="42"/>
      <c r="L92" s="42"/>
      <c r="M92" s="42"/>
      <c r="N92" s="42"/>
      <c r="O92" s="42"/>
    </row>
    <row r="93" spans="3:15" s="37" customFormat="1" ht="21">
      <c r="E93" s="39" t="s">
        <v>382</v>
      </c>
      <c r="F93" s="39"/>
      <c r="G93" s="184"/>
      <c r="H93" s="172" t="str">
        <f t="shared" si="1"/>
        <v/>
      </c>
      <c r="I93" s="42"/>
      <c r="J93" s="42"/>
      <c r="K93" s="42"/>
      <c r="L93" s="42"/>
      <c r="M93" s="42"/>
      <c r="N93" s="42"/>
      <c r="O93" s="42"/>
    </row>
    <row r="94" spans="3:15" s="37" customFormat="1" ht="21">
      <c r="E94" s="32" t="s">
        <v>379</v>
      </c>
      <c r="F94" s="32"/>
      <c r="G94" s="183"/>
      <c r="H94" s="172" t="str">
        <f t="shared" si="1"/>
        <v/>
      </c>
      <c r="I94" s="42"/>
      <c r="J94" s="42"/>
      <c r="K94" s="42"/>
      <c r="L94" s="42"/>
      <c r="M94" s="42"/>
      <c r="N94" s="42"/>
      <c r="O94" s="42"/>
    </row>
    <row r="95" spans="3:15" s="37" customFormat="1" ht="21">
      <c r="E95" s="39" t="s">
        <v>383</v>
      </c>
      <c r="F95" s="39"/>
      <c r="G95" s="184"/>
      <c r="H95" s="172" t="str">
        <f t="shared" si="1"/>
        <v/>
      </c>
      <c r="I95" s="42"/>
      <c r="J95" s="42"/>
      <c r="K95" s="42"/>
      <c r="L95" s="42"/>
      <c r="M95" s="42"/>
      <c r="N95" s="42"/>
      <c r="O95" s="42"/>
    </row>
    <row r="96" spans="3:15" s="37" customFormat="1" ht="21">
      <c r="E96" s="39" t="s">
        <v>384</v>
      </c>
      <c r="F96" s="39"/>
      <c r="G96" s="184"/>
      <c r="H96" s="172" t="str">
        <f t="shared" si="1"/>
        <v/>
      </c>
      <c r="I96" s="42"/>
      <c r="J96" s="42"/>
      <c r="K96" s="42"/>
      <c r="L96" s="42"/>
      <c r="M96" s="42"/>
      <c r="N96" s="42"/>
      <c r="O96" s="42"/>
    </row>
    <row r="97" spans="2:15" s="37" customFormat="1" ht="21">
      <c r="C97" s="37">
        <v>7</v>
      </c>
      <c r="E97" s="33" t="s">
        <v>425</v>
      </c>
      <c r="F97" s="33"/>
      <c r="G97" s="183"/>
      <c r="H97" s="172" t="str">
        <f t="shared" si="1"/>
        <v/>
      </c>
      <c r="I97" s="42" t="s">
        <v>423</v>
      </c>
      <c r="J97" s="42" t="s">
        <v>424</v>
      </c>
      <c r="K97" s="42" t="s">
        <v>325</v>
      </c>
      <c r="L97" s="42" t="s">
        <v>326</v>
      </c>
      <c r="M97" s="42"/>
      <c r="N97" s="42"/>
      <c r="O97" s="42"/>
    </row>
    <row r="98" spans="2:15" s="37" customFormat="1" ht="21">
      <c r="C98" s="37">
        <v>8</v>
      </c>
      <c r="E98" s="33" t="s">
        <v>426</v>
      </c>
      <c r="F98" s="33"/>
      <c r="H98" s="172"/>
      <c r="I98" s="42"/>
      <c r="J98" s="42"/>
      <c r="K98" s="42"/>
      <c r="L98" s="42"/>
      <c r="M98" s="42"/>
      <c r="N98" s="42"/>
      <c r="O98" s="42"/>
    </row>
    <row r="99" spans="2:15" s="37" customFormat="1" ht="21">
      <c r="E99" s="39" t="s">
        <v>354</v>
      </c>
      <c r="F99" s="39"/>
      <c r="G99" s="183"/>
      <c r="H99" s="172" t="str">
        <f t="shared" si="1"/>
        <v/>
      </c>
      <c r="I99" s="42"/>
      <c r="J99" s="42"/>
      <c r="K99" s="42"/>
      <c r="L99" s="42"/>
      <c r="M99" s="42"/>
      <c r="N99" s="42"/>
      <c r="O99" s="42"/>
    </row>
    <row r="100" spans="2:15" s="37" customFormat="1" ht="21">
      <c r="E100" s="39" t="s">
        <v>427</v>
      </c>
      <c r="F100" s="39"/>
      <c r="G100" s="183"/>
      <c r="H100" s="172" t="str">
        <f t="shared" si="1"/>
        <v/>
      </c>
      <c r="I100" s="42"/>
      <c r="J100" s="42"/>
      <c r="K100" s="42"/>
      <c r="L100" s="42"/>
      <c r="M100" s="42"/>
      <c r="N100" s="42"/>
      <c r="O100" s="42"/>
    </row>
    <row r="101" spans="2:15" s="37" customFormat="1" ht="21">
      <c r="E101" s="39" t="s">
        <v>428</v>
      </c>
      <c r="F101" s="39"/>
      <c r="G101" s="183"/>
      <c r="H101" s="172" t="str">
        <f t="shared" si="1"/>
        <v/>
      </c>
      <c r="I101" s="42"/>
      <c r="J101" s="42"/>
      <c r="K101" s="42"/>
      <c r="L101" s="42"/>
      <c r="M101" s="42"/>
      <c r="N101" s="42"/>
      <c r="O101" s="42"/>
    </row>
    <row r="102" spans="2:15" s="37" customFormat="1" ht="21">
      <c r="E102" s="39" t="s">
        <v>429</v>
      </c>
      <c r="F102" s="39"/>
      <c r="G102" s="183"/>
      <c r="H102" s="172" t="str">
        <f t="shared" si="1"/>
        <v/>
      </c>
      <c r="I102" s="42"/>
      <c r="J102" s="42"/>
      <c r="K102" s="42"/>
      <c r="L102" s="42"/>
      <c r="M102" s="42"/>
      <c r="N102" s="42"/>
      <c r="O102" s="42"/>
    </row>
    <row r="103" spans="2:15" s="37" customFormat="1" ht="21">
      <c r="E103" s="39" t="s">
        <v>430</v>
      </c>
      <c r="F103" s="39"/>
      <c r="G103" s="183"/>
      <c r="H103" s="172" t="str">
        <f t="shared" si="1"/>
        <v/>
      </c>
      <c r="I103" s="42"/>
      <c r="J103" s="42"/>
      <c r="K103" s="42"/>
      <c r="L103" s="42"/>
      <c r="M103" s="42"/>
      <c r="N103" s="42"/>
      <c r="O103" s="42"/>
    </row>
    <row r="104" spans="2:15" s="37" customFormat="1" ht="21">
      <c r="E104" s="39" t="s">
        <v>431</v>
      </c>
      <c r="F104" s="39"/>
      <c r="G104" s="183"/>
      <c r="H104" s="172" t="str">
        <f t="shared" si="1"/>
        <v/>
      </c>
      <c r="I104" s="42"/>
      <c r="J104" s="42"/>
      <c r="K104" s="42"/>
      <c r="L104" s="42"/>
      <c r="M104" s="42"/>
      <c r="N104" s="42"/>
      <c r="O104" s="42"/>
    </row>
    <row r="105" spans="2:15" s="37" customFormat="1" ht="21">
      <c r="E105" s="39" t="s">
        <v>432</v>
      </c>
      <c r="F105" s="39"/>
      <c r="G105" s="183"/>
      <c r="H105" s="172" t="str">
        <f t="shared" si="1"/>
        <v/>
      </c>
      <c r="I105" s="42"/>
      <c r="J105" s="42"/>
      <c r="K105" s="42"/>
      <c r="L105" s="42"/>
      <c r="M105" s="42"/>
      <c r="N105" s="42"/>
      <c r="O105" s="42"/>
    </row>
    <row r="106" spans="2:15" s="37" customFormat="1" ht="21">
      <c r="E106" s="39"/>
      <c r="F106" s="39"/>
      <c r="G106" s="39"/>
      <c r="H106" s="172"/>
      <c r="I106" s="42"/>
      <c r="J106" s="42"/>
      <c r="K106" s="42"/>
      <c r="L106" s="42"/>
      <c r="M106" s="42"/>
      <c r="N106" s="42"/>
      <c r="O106" s="42"/>
    </row>
    <row r="107" spans="2:15" s="37" customFormat="1" ht="21">
      <c r="C107" s="37">
        <v>9</v>
      </c>
      <c r="E107" s="33" t="s">
        <v>433</v>
      </c>
      <c r="F107" s="33"/>
      <c r="G107" s="183"/>
      <c r="H107" s="172" t="str">
        <f t="shared" si="1"/>
        <v/>
      </c>
      <c r="I107" s="42" t="s">
        <v>434</v>
      </c>
      <c r="J107" s="42" t="s">
        <v>435</v>
      </c>
      <c r="K107" s="42" t="s">
        <v>436</v>
      </c>
      <c r="L107" s="42" t="s">
        <v>437</v>
      </c>
      <c r="M107" s="42"/>
      <c r="N107" s="42"/>
      <c r="O107" s="42"/>
    </row>
    <row r="108" spans="2:15" s="37" customFormat="1" ht="21">
      <c r="C108" s="37">
        <v>10</v>
      </c>
      <c r="E108" s="33" t="s">
        <v>438</v>
      </c>
      <c r="F108" s="33"/>
      <c r="G108" s="183"/>
      <c r="H108" s="172" t="str">
        <f t="shared" si="1"/>
        <v/>
      </c>
      <c r="I108" s="42" t="s">
        <v>237</v>
      </c>
      <c r="J108" s="42" t="s">
        <v>9</v>
      </c>
      <c r="K108" s="42"/>
      <c r="L108" s="42"/>
      <c r="M108" s="42"/>
      <c r="N108" s="42"/>
      <c r="O108" s="42"/>
    </row>
    <row r="109" spans="2:15" s="37" customFormat="1" ht="21">
      <c r="E109" s="39" t="s">
        <v>439</v>
      </c>
      <c r="F109" s="39"/>
      <c r="G109" s="183"/>
      <c r="H109" s="172" t="str">
        <f t="shared" si="1"/>
        <v/>
      </c>
      <c r="I109" s="42"/>
      <c r="J109" s="42"/>
      <c r="K109" s="42"/>
      <c r="L109" s="42"/>
      <c r="M109" s="42"/>
      <c r="N109" s="42"/>
      <c r="O109" s="42"/>
    </row>
    <row r="110" spans="2:15" s="37" customFormat="1" ht="21">
      <c r="E110" s="39" t="s">
        <v>440</v>
      </c>
      <c r="F110" s="39"/>
      <c r="G110" s="183"/>
      <c r="H110" s="172" t="str">
        <f t="shared" si="1"/>
        <v/>
      </c>
      <c r="I110" s="42"/>
      <c r="J110" s="42"/>
      <c r="K110" s="42"/>
      <c r="L110" s="42"/>
      <c r="M110" s="42"/>
      <c r="N110" s="42"/>
      <c r="O110" s="42"/>
    </row>
    <row r="111" spans="2:15" s="37" customFormat="1" ht="21">
      <c r="H111" s="172"/>
      <c r="I111" s="42"/>
      <c r="J111" s="42"/>
      <c r="K111" s="42"/>
      <c r="L111" s="42"/>
      <c r="M111" s="42"/>
      <c r="N111" s="42"/>
      <c r="O111" s="42"/>
    </row>
    <row r="112" spans="2:15" s="37" customFormat="1">
      <c r="B112" s="35" t="s">
        <v>442</v>
      </c>
      <c r="H112" s="172" t="str">
        <f>IF((COUNTA(G110,G109,G108,G107,G105,G104,G103,G102,G101,G100,G99,G97,G96,G95,G94,G93,G92,G91,G89,G88,G87,G86,G85,G83,G82,G81,G80,G79,G78,G76,G75,G73,G72,G71,G69,G65,G64,G63,G62,G61,G59,G57,G56,G55,G54,G53,G52,G51,G50)&gt;20),"cert2","NoCert1")</f>
        <v>NoCert1</v>
      </c>
      <c r="I112" s="42"/>
      <c r="J112" s="42"/>
      <c r="K112" s="42"/>
      <c r="L112" s="42"/>
      <c r="M112" s="42"/>
      <c r="N112" s="42"/>
      <c r="O112" s="42"/>
    </row>
    <row r="113" spans="2:15" s="37" customFormat="1">
      <c r="B113" s="46" t="s">
        <v>492</v>
      </c>
      <c r="C113" s="47"/>
      <c r="D113" s="48"/>
      <c r="E113" s="48"/>
      <c r="F113" s="48"/>
      <c r="G113" s="48"/>
      <c r="H113" s="172"/>
      <c r="I113" s="42"/>
      <c r="J113" s="42"/>
      <c r="K113" s="42"/>
      <c r="L113" s="42"/>
      <c r="M113" s="42"/>
      <c r="N113" s="42"/>
      <c r="O113" s="42"/>
    </row>
    <row r="114" spans="2:15" s="37" customFormat="1" ht="21">
      <c r="B114" s="49"/>
      <c r="C114" s="50" t="s">
        <v>445</v>
      </c>
      <c r="D114" s="50" t="s">
        <v>443</v>
      </c>
      <c r="E114" s="50" t="s">
        <v>444</v>
      </c>
      <c r="F114" s="50" t="s">
        <v>366</v>
      </c>
      <c r="G114" s="50" t="s">
        <v>450</v>
      </c>
      <c r="H114" s="172"/>
      <c r="I114" s="42"/>
      <c r="J114" s="42"/>
      <c r="K114" s="42"/>
      <c r="L114" s="42"/>
      <c r="M114" s="42"/>
      <c r="N114" s="42"/>
      <c r="O114" s="42"/>
    </row>
    <row r="115" spans="2:15" s="37" customFormat="1" ht="21">
      <c r="B115" s="49"/>
      <c r="C115" s="170" t="s">
        <v>446</v>
      </c>
      <c r="D115" s="170"/>
      <c r="E115" s="170"/>
      <c r="F115" s="170"/>
      <c r="G115" s="52"/>
      <c r="H115" s="172"/>
      <c r="I115" s="42"/>
      <c r="J115" s="42"/>
      <c r="K115" s="42"/>
      <c r="L115" s="42"/>
      <c r="M115" s="42"/>
      <c r="N115" s="42"/>
      <c r="O115" s="42"/>
    </row>
    <row r="116" spans="2:15" s="37" customFormat="1" ht="40">
      <c r="B116" s="48"/>
      <c r="C116" s="47" t="s">
        <v>447</v>
      </c>
      <c r="D116" s="48" t="s">
        <v>448</v>
      </c>
      <c r="E116" s="51" t="s">
        <v>519</v>
      </c>
      <c r="F116" s="47" t="s">
        <v>449</v>
      </c>
      <c r="G116" s="185"/>
      <c r="H116" s="172" t="str">
        <f t="shared" si="1"/>
        <v/>
      </c>
      <c r="I116" s="42"/>
      <c r="J116" s="42"/>
      <c r="K116" s="42"/>
      <c r="L116" s="42"/>
      <c r="M116" s="42"/>
      <c r="N116" s="42"/>
      <c r="O116" s="42"/>
    </row>
    <row r="117" spans="2:15" s="37" customFormat="1" ht="21">
      <c r="B117" s="48"/>
      <c r="C117" s="47"/>
      <c r="D117" s="48"/>
      <c r="E117" s="51"/>
      <c r="F117" s="47"/>
      <c r="G117" s="2"/>
      <c r="H117" s="172"/>
      <c r="I117" s="42"/>
      <c r="J117" s="42"/>
      <c r="K117" s="42"/>
      <c r="L117" s="42"/>
      <c r="M117" s="42"/>
      <c r="N117" s="42"/>
      <c r="O117" s="42"/>
    </row>
    <row r="118" spans="2:15" s="37" customFormat="1" ht="21">
      <c r="B118" s="48"/>
      <c r="C118" s="47" t="s">
        <v>451</v>
      </c>
      <c r="D118" s="48" t="s">
        <v>452</v>
      </c>
      <c r="E118" s="51" t="s">
        <v>452</v>
      </c>
      <c r="F118" s="47" t="s">
        <v>449</v>
      </c>
      <c r="G118" s="185"/>
      <c r="H118" s="172" t="str">
        <f t="shared" si="1"/>
        <v/>
      </c>
      <c r="I118" s="42"/>
      <c r="J118" s="42"/>
      <c r="K118" s="42"/>
      <c r="L118" s="42"/>
      <c r="M118" s="42"/>
      <c r="N118" s="42"/>
      <c r="O118" s="42"/>
    </row>
    <row r="119" spans="2:15" s="37" customFormat="1" ht="21">
      <c r="B119" s="48"/>
      <c r="C119" s="47"/>
      <c r="D119" s="48"/>
      <c r="E119" s="51"/>
      <c r="F119" s="47"/>
      <c r="G119" s="2"/>
      <c r="H119" s="172"/>
    </row>
    <row r="120" spans="2:15" s="37" customFormat="1" ht="40">
      <c r="B120" s="48"/>
      <c r="C120" s="47" t="s">
        <v>453</v>
      </c>
      <c r="D120" s="48" t="s">
        <v>454</v>
      </c>
      <c r="E120" s="51" t="s">
        <v>455</v>
      </c>
      <c r="F120" s="47" t="s">
        <v>449</v>
      </c>
      <c r="G120" s="185"/>
      <c r="H120" s="172" t="str">
        <f t="shared" si="1"/>
        <v/>
      </c>
    </row>
    <row r="121" spans="2:15" s="37" customFormat="1" ht="21">
      <c r="B121" s="48"/>
      <c r="C121" s="47"/>
      <c r="D121" s="48"/>
      <c r="E121" s="51"/>
      <c r="F121" s="47"/>
      <c r="G121" s="2"/>
      <c r="H121" s="172"/>
    </row>
    <row r="122" spans="2:15" s="37" customFormat="1" ht="40">
      <c r="B122" s="48"/>
      <c r="C122" s="47" t="s">
        <v>460</v>
      </c>
      <c r="D122" s="48" t="s">
        <v>456</v>
      </c>
      <c r="E122" s="51" t="s">
        <v>490</v>
      </c>
      <c r="F122" s="47" t="s">
        <v>449</v>
      </c>
      <c r="G122" s="185"/>
      <c r="H122" s="172" t="str">
        <f t="shared" si="1"/>
        <v/>
      </c>
    </row>
    <row r="123" spans="2:15" s="37" customFormat="1" ht="21">
      <c r="B123" s="48"/>
      <c r="C123" s="47"/>
      <c r="D123" s="48"/>
      <c r="E123" s="51"/>
      <c r="F123" s="47"/>
      <c r="G123" s="2"/>
      <c r="H123" s="172"/>
    </row>
    <row r="124" spans="2:15" s="37" customFormat="1" ht="21">
      <c r="B124" s="48"/>
      <c r="C124" s="47" t="s">
        <v>461</v>
      </c>
      <c r="D124" s="48" t="s">
        <v>457</v>
      </c>
      <c r="E124" s="51" t="s">
        <v>518</v>
      </c>
      <c r="F124" s="47" t="s">
        <v>449</v>
      </c>
      <c r="G124" s="185"/>
      <c r="H124" s="172" t="str">
        <f t="shared" si="1"/>
        <v/>
      </c>
    </row>
    <row r="125" spans="2:15" s="37" customFormat="1" ht="21">
      <c r="B125" s="48"/>
      <c r="C125" s="47"/>
      <c r="D125" s="48"/>
      <c r="E125" s="51"/>
      <c r="F125" s="47"/>
      <c r="G125" s="2"/>
      <c r="H125" s="172"/>
    </row>
    <row r="126" spans="2:15" s="37" customFormat="1" ht="21">
      <c r="B126" s="48"/>
      <c r="C126" s="47" t="s">
        <v>462</v>
      </c>
      <c r="D126" s="48" t="s">
        <v>459</v>
      </c>
      <c r="E126" s="51" t="s">
        <v>458</v>
      </c>
      <c r="F126" s="47" t="s">
        <v>449</v>
      </c>
      <c r="G126" s="185"/>
      <c r="H126" s="172" t="str">
        <f t="shared" si="1"/>
        <v/>
      </c>
    </row>
    <row r="127" spans="2:15" s="37" customFormat="1" ht="21">
      <c r="B127" s="48"/>
      <c r="C127" s="47"/>
      <c r="D127" s="48"/>
      <c r="E127" s="51"/>
      <c r="F127" s="47"/>
      <c r="G127" s="2"/>
      <c r="H127" s="172"/>
    </row>
    <row r="128" spans="2:15" s="37" customFormat="1" ht="40">
      <c r="B128" s="48"/>
      <c r="C128" s="47" t="s">
        <v>474</v>
      </c>
      <c r="D128" s="48" t="s">
        <v>463</v>
      </c>
      <c r="E128" s="51" t="s">
        <v>491</v>
      </c>
      <c r="F128" s="47" t="s">
        <v>464</v>
      </c>
      <c r="G128" s="185"/>
      <c r="H128" s="172" t="str">
        <f t="shared" si="1"/>
        <v/>
      </c>
    </row>
    <row r="129" spans="2:8" s="37" customFormat="1" ht="21">
      <c r="B129" s="48"/>
      <c r="C129" s="47"/>
      <c r="D129" s="48"/>
      <c r="E129" s="51"/>
      <c r="F129" s="47"/>
      <c r="G129" s="2"/>
      <c r="H129" s="172"/>
    </row>
    <row r="130" spans="2:8" s="37" customFormat="1" ht="40">
      <c r="B130" s="48"/>
      <c r="C130" s="47" t="s">
        <v>475</v>
      </c>
      <c r="D130" s="48" t="s">
        <v>466</v>
      </c>
      <c r="E130" s="51" t="s">
        <v>465</v>
      </c>
      <c r="F130" s="47" t="s">
        <v>464</v>
      </c>
      <c r="G130" s="185"/>
      <c r="H130" s="172" t="str">
        <f t="shared" si="1"/>
        <v/>
      </c>
    </row>
    <row r="131" spans="2:8" s="37" customFormat="1" ht="21">
      <c r="B131" s="48"/>
      <c r="C131" s="47"/>
      <c r="D131" s="48"/>
      <c r="E131" s="51"/>
      <c r="F131" s="47"/>
      <c r="G131" s="2"/>
      <c r="H131" s="172"/>
    </row>
    <row r="132" spans="2:8" s="37" customFormat="1" ht="21">
      <c r="B132" s="48"/>
      <c r="C132" s="47" t="s">
        <v>476</v>
      </c>
      <c r="D132" s="48" t="s">
        <v>467</v>
      </c>
      <c r="E132" s="51" t="s">
        <v>467</v>
      </c>
      <c r="F132" s="47" t="s">
        <v>449</v>
      </c>
      <c r="G132" s="185"/>
      <c r="H132" s="172" t="str">
        <f t="shared" si="1"/>
        <v/>
      </c>
    </row>
    <row r="133" spans="2:8" s="37" customFormat="1" ht="21">
      <c r="B133" s="48"/>
      <c r="C133" s="47"/>
      <c r="D133" s="48"/>
      <c r="E133" s="51"/>
      <c r="F133" s="47"/>
      <c r="G133" s="2"/>
      <c r="H133" s="172"/>
    </row>
    <row r="134" spans="2:8" s="37" customFormat="1" ht="21">
      <c r="B134" s="48"/>
      <c r="C134" s="47" t="s">
        <v>477</v>
      </c>
      <c r="D134" s="48" t="s">
        <v>468</v>
      </c>
      <c r="E134" s="51" t="s">
        <v>469</v>
      </c>
      <c r="F134" s="47" t="s">
        <v>464</v>
      </c>
      <c r="G134" s="185"/>
      <c r="H134" s="172" t="str">
        <f t="shared" ref="H134:H164" si="2">IF(OR(ISTEXT(G134),ISNUMBER(G134)), "Yes", "")</f>
        <v/>
      </c>
    </row>
    <row r="135" spans="2:8" s="37" customFormat="1" ht="21">
      <c r="B135" s="48"/>
      <c r="C135" s="47"/>
      <c r="D135" s="48"/>
      <c r="E135" s="51"/>
      <c r="F135" s="47"/>
      <c r="G135" s="2"/>
      <c r="H135" s="172"/>
    </row>
    <row r="136" spans="2:8" s="37" customFormat="1" ht="40">
      <c r="B136" s="48"/>
      <c r="C136" s="47" t="s">
        <v>478</v>
      </c>
      <c r="D136" s="48" t="s">
        <v>470</v>
      </c>
      <c r="E136" s="51" t="s">
        <v>471</v>
      </c>
      <c r="F136" s="47" t="s">
        <v>449</v>
      </c>
      <c r="G136" s="185"/>
      <c r="H136" s="172" t="str">
        <f t="shared" si="2"/>
        <v/>
      </c>
    </row>
    <row r="137" spans="2:8" s="37" customFormat="1" ht="21">
      <c r="B137" s="48"/>
      <c r="C137" s="47"/>
      <c r="D137" s="48"/>
      <c r="E137" s="51"/>
      <c r="F137" s="47"/>
      <c r="G137" s="2"/>
      <c r="H137" s="172"/>
    </row>
    <row r="138" spans="2:8" s="37" customFormat="1" ht="40">
      <c r="B138" s="48"/>
      <c r="C138" s="47" t="s">
        <v>479</v>
      </c>
      <c r="D138" s="48" t="s">
        <v>472</v>
      </c>
      <c r="E138" s="51" t="s">
        <v>473</v>
      </c>
      <c r="F138" s="47" t="s">
        <v>449</v>
      </c>
      <c r="G138" s="185"/>
      <c r="H138" s="172" t="str">
        <f t="shared" si="2"/>
        <v/>
      </c>
    </row>
    <row r="139" spans="2:8" s="37" customFormat="1" ht="21">
      <c r="B139" s="48"/>
      <c r="C139" s="137" t="s">
        <v>480</v>
      </c>
      <c r="D139" s="137"/>
      <c r="E139" s="137"/>
      <c r="F139" s="137"/>
      <c r="G139" s="48"/>
      <c r="H139" s="172"/>
    </row>
    <row r="140" spans="2:8" s="37" customFormat="1" ht="21">
      <c r="B140" s="48"/>
      <c r="C140" s="47"/>
      <c r="D140" s="48" t="s">
        <v>481</v>
      </c>
      <c r="E140" s="51" t="s">
        <v>482</v>
      </c>
      <c r="F140" s="47" t="s">
        <v>449</v>
      </c>
      <c r="G140" s="185"/>
      <c r="H140" s="172" t="str">
        <f t="shared" si="2"/>
        <v/>
      </c>
    </row>
    <row r="141" spans="2:8" s="37" customFormat="1" ht="21">
      <c r="B141" s="48"/>
      <c r="C141" s="47"/>
      <c r="D141" s="48"/>
      <c r="E141" s="51"/>
      <c r="F141" s="47"/>
      <c r="G141" s="48"/>
      <c r="H141" s="172"/>
    </row>
    <row r="142" spans="2:8" s="37" customFormat="1" ht="21">
      <c r="B142" s="48"/>
      <c r="C142" s="47"/>
      <c r="D142" s="48" t="s">
        <v>483</v>
      </c>
      <c r="E142" s="51" t="s">
        <v>484</v>
      </c>
      <c r="F142" s="47" t="s">
        <v>489</v>
      </c>
      <c r="G142" s="185"/>
      <c r="H142" s="172" t="str">
        <f t="shared" si="2"/>
        <v/>
      </c>
    </row>
    <row r="143" spans="2:8" s="37" customFormat="1" ht="21">
      <c r="B143" s="48"/>
      <c r="C143" s="47"/>
      <c r="D143" s="48"/>
      <c r="E143" s="51"/>
      <c r="F143" s="47"/>
      <c r="G143" s="48"/>
      <c r="H143" s="172"/>
    </row>
    <row r="144" spans="2:8" s="37" customFormat="1" ht="21">
      <c r="B144" s="48"/>
      <c r="C144" s="47"/>
      <c r="D144" s="48" t="s">
        <v>485</v>
      </c>
      <c r="E144" s="51" t="s">
        <v>486</v>
      </c>
      <c r="F144" s="47" t="s">
        <v>489</v>
      </c>
      <c r="G144" s="185"/>
      <c r="H144" s="172" t="str">
        <f t="shared" si="2"/>
        <v/>
      </c>
    </row>
    <row r="145" spans="2:8" s="37" customFormat="1" ht="21">
      <c r="B145" s="48"/>
      <c r="C145" s="47"/>
      <c r="D145" s="48"/>
      <c r="E145" s="51"/>
      <c r="F145" s="47"/>
      <c r="G145" s="48"/>
      <c r="H145" s="172"/>
    </row>
    <row r="146" spans="2:8" s="37" customFormat="1" ht="21">
      <c r="B146" s="48"/>
      <c r="C146" s="47"/>
      <c r="D146" s="48" t="s">
        <v>487</v>
      </c>
      <c r="E146" s="51" t="s">
        <v>488</v>
      </c>
      <c r="F146" s="47" t="s">
        <v>489</v>
      </c>
      <c r="G146" s="185"/>
      <c r="H146" s="172" t="str">
        <f t="shared" si="2"/>
        <v/>
      </c>
    </row>
    <row r="147" spans="2:8" s="37" customFormat="1" ht="21">
      <c r="B147" s="48"/>
      <c r="C147" s="47"/>
      <c r="D147" s="48"/>
      <c r="E147" s="48"/>
      <c r="F147" s="48"/>
      <c r="G147" s="48"/>
      <c r="H147" s="172"/>
    </row>
    <row r="148" spans="2:8" s="37" customFormat="1">
      <c r="B148" s="46" t="s">
        <v>493</v>
      </c>
      <c r="C148" s="47"/>
      <c r="D148" s="48"/>
      <c r="E148" s="48"/>
      <c r="F148" s="48"/>
      <c r="G148" s="48"/>
      <c r="H148" s="172"/>
    </row>
    <row r="149" spans="2:8" s="37" customFormat="1" ht="21">
      <c r="B149" s="48"/>
      <c r="C149" s="47"/>
      <c r="D149" s="48"/>
      <c r="E149" s="48"/>
      <c r="F149" s="48"/>
      <c r="G149" s="48"/>
      <c r="H149" s="172"/>
    </row>
    <row r="150" spans="2:8" s="37" customFormat="1" ht="21">
      <c r="B150" s="48"/>
      <c r="C150" s="47" t="s">
        <v>494</v>
      </c>
      <c r="D150" s="48" t="s">
        <v>495</v>
      </c>
      <c r="E150" s="51" t="s">
        <v>505</v>
      </c>
      <c r="F150" s="47" t="s">
        <v>506</v>
      </c>
      <c r="G150" s="185"/>
      <c r="H150" s="172" t="str">
        <f t="shared" si="2"/>
        <v/>
      </c>
    </row>
    <row r="151" spans="2:8" s="37" customFormat="1" ht="21">
      <c r="B151" s="48"/>
      <c r="C151" s="47"/>
      <c r="D151" s="48"/>
      <c r="E151" s="51"/>
      <c r="F151" s="47"/>
      <c r="G151" s="48"/>
      <c r="H151" s="172"/>
    </row>
    <row r="152" spans="2:8" s="37" customFormat="1" ht="21">
      <c r="B152" s="48"/>
      <c r="C152" s="47" t="s">
        <v>499</v>
      </c>
      <c r="D152" s="48" t="s">
        <v>496</v>
      </c>
      <c r="E152" s="51" t="s">
        <v>504</v>
      </c>
      <c r="F152" s="47" t="s">
        <v>507</v>
      </c>
      <c r="G152" s="185"/>
      <c r="H152" s="172" t="str">
        <f t="shared" si="2"/>
        <v/>
      </c>
    </row>
    <row r="153" spans="2:8" s="37" customFormat="1" ht="21">
      <c r="B153" s="48"/>
      <c r="C153" s="47"/>
      <c r="D153" s="48"/>
      <c r="E153" s="51"/>
      <c r="F153" s="47"/>
      <c r="G153" s="48"/>
      <c r="H153" s="172"/>
    </row>
    <row r="154" spans="2:8" s="37" customFormat="1" ht="21">
      <c r="B154" s="48"/>
      <c r="C154" s="47" t="s">
        <v>500</v>
      </c>
      <c r="D154" s="48" t="s">
        <v>497</v>
      </c>
      <c r="E154" s="51" t="s">
        <v>503</v>
      </c>
      <c r="F154" s="47" t="s">
        <v>507</v>
      </c>
      <c r="G154" s="185"/>
      <c r="H154" s="172" t="str">
        <f t="shared" si="2"/>
        <v/>
      </c>
    </row>
    <row r="155" spans="2:8" s="37" customFormat="1" ht="21">
      <c r="B155" s="48"/>
      <c r="C155" s="47"/>
      <c r="D155" s="48"/>
      <c r="E155" s="51"/>
      <c r="F155" s="47"/>
      <c r="G155" s="48"/>
      <c r="H155" s="172"/>
    </row>
    <row r="156" spans="2:8" s="37" customFormat="1" ht="40">
      <c r="B156" s="48"/>
      <c r="C156" s="47" t="s">
        <v>501</v>
      </c>
      <c r="D156" s="48" t="s">
        <v>498</v>
      </c>
      <c r="E156" s="51" t="s">
        <v>502</v>
      </c>
      <c r="F156" s="47" t="s">
        <v>508</v>
      </c>
      <c r="G156" s="185"/>
      <c r="H156" s="172" t="str">
        <f t="shared" si="2"/>
        <v/>
      </c>
    </row>
    <row r="157" spans="2:8" s="37" customFormat="1" ht="21">
      <c r="B157" s="48"/>
      <c r="C157" s="171" t="s">
        <v>509</v>
      </c>
      <c r="D157" s="171"/>
      <c r="E157" s="171"/>
      <c r="F157" s="171"/>
      <c r="G157" s="48"/>
      <c r="H157" s="172"/>
    </row>
    <row r="158" spans="2:8" s="37" customFormat="1" ht="21">
      <c r="B158" s="48"/>
      <c r="C158" s="47"/>
      <c r="D158" s="48" t="s">
        <v>510</v>
      </c>
      <c r="E158" s="51" t="s">
        <v>511</v>
      </c>
      <c r="F158" s="47" t="s">
        <v>489</v>
      </c>
      <c r="G158" s="185"/>
      <c r="H158" s="172" t="str">
        <f t="shared" si="2"/>
        <v/>
      </c>
    </row>
    <row r="159" spans="2:8" s="37" customFormat="1" ht="21">
      <c r="B159" s="48"/>
      <c r="C159" s="47"/>
      <c r="D159" s="48"/>
      <c r="E159" s="51"/>
      <c r="F159" s="47"/>
      <c r="G159" s="48"/>
      <c r="H159" s="172"/>
    </row>
    <row r="160" spans="2:8" s="37" customFormat="1" ht="21">
      <c r="B160" s="48"/>
      <c r="C160" s="47"/>
      <c r="D160" s="48" t="s">
        <v>389</v>
      </c>
      <c r="E160" s="51" t="s">
        <v>512</v>
      </c>
      <c r="F160" s="47" t="s">
        <v>513</v>
      </c>
      <c r="G160" s="185"/>
      <c r="H160" s="172" t="str">
        <f t="shared" si="2"/>
        <v/>
      </c>
    </row>
    <row r="161" spans="2:8" s="37" customFormat="1" ht="21">
      <c r="B161" s="48"/>
      <c r="C161" s="47"/>
      <c r="D161" s="48"/>
      <c r="E161" s="51"/>
      <c r="F161" s="47"/>
      <c r="G161" s="48"/>
      <c r="H161" s="172"/>
    </row>
    <row r="162" spans="2:8" s="37" customFormat="1" ht="21">
      <c r="B162" s="48"/>
      <c r="C162" s="47"/>
      <c r="D162" s="48" t="s">
        <v>514</v>
      </c>
      <c r="E162" s="51" t="s">
        <v>515</v>
      </c>
      <c r="F162" s="47" t="s">
        <v>489</v>
      </c>
      <c r="G162" s="185"/>
      <c r="H162" s="172" t="str">
        <f t="shared" si="2"/>
        <v/>
      </c>
    </row>
    <row r="163" spans="2:8" s="37" customFormat="1" ht="21">
      <c r="B163" s="48"/>
      <c r="C163" s="47"/>
      <c r="D163" s="48"/>
      <c r="E163" s="51"/>
      <c r="F163" s="47"/>
      <c r="G163" s="48"/>
      <c r="H163" s="172"/>
    </row>
    <row r="164" spans="2:8" s="37" customFormat="1" ht="21">
      <c r="B164" s="48"/>
      <c r="C164" s="47"/>
      <c r="D164" s="48" t="s">
        <v>516</v>
      </c>
      <c r="E164" s="51" t="s">
        <v>517</v>
      </c>
      <c r="F164" s="47" t="s">
        <v>489</v>
      </c>
      <c r="G164" s="185"/>
      <c r="H164" s="172" t="str">
        <f t="shared" si="2"/>
        <v/>
      </c>
    </row>
    <row r="165" spans="2:8" s="37" customFormat="1" ht="21">
      <c r="B165" s="48"/>
      <c r="C165" s="47"/>
      <c r="D165" s="48"/>
      <c r="E165" s="48"/>
      <c r="F165" s="48"/>
      <c r="G165" s="48"/>
      <c r="H165" s="172"/>
    </row>
    <row r="166" spans="2:8" s="37" customFormat="1" ht="21">
      <c r="H166" s="172" t="str">
        <f>IF((COUNTA(G164,G162,G160,G158,G156,G154,G152,G150,G146,G144,G142,G140,G138,G136,G134,G132,G130,G128,G126,G124,G122,G120,G118,G116)&gt;20),"cert.3","NoCert1")</f>
        <v>NoCert1</v>
      </c>
    </row>
    <row r="167" spans="2:8" s="37" customFormat="1" ht="21">
      <c r="H167" s="172"/>
    </row>
    <row r="168" spans="2:8" s="37" customFormat="1" ht="21">
      <c r="H168" s="172"/>
    </row>
    <row r="169" spans="2:8" s="37" customFormat="1" ht="21">
      <c r="H169" s="172"/>
    </row>
    <row r="170" spans="2:8" s="37" customFormat="1" ht="21">
      <c r="H170" s="172"/>
    </row>
    <row r="171" spans="2:8" s="37" customFormat="1" ht="21">
      <c r="H171" s="172"/>
    </row>
    <row r="172" spans="2:8" s="37" customFormat="1" ht="21">
      <c r="H172" s="172"/>
    </row>
    <row r="173" spans="2:8" s="37" customFormat="1" ht="21">
      <c r="H173" s="172"/>
    </row>
    <row r="174" spans="2:8" s="37" customFormat="1" ht="21">
      <c r="H174" s="172"/>
    </row>
    <row r="175" spans="2:8" s="37" customFormat="1" ht="21">
      <c r="H175" s="172"/>
    </row>
    <row r="176" spans="2:8" s="37" customFormat="1" ht="21">
      <c r="H176" s="172"/>
    </row>
    <row r="177" spans="8:8" s="37" customFormat="1" ht="21">
      <c r="H177" s="172"/>
    </row>
    <row r="178" spans="8:8" s="37" customFormat="1" ht="21">
      <c r="H178" s="172"/>
    </row>
    <row r="179" spans="8:8" s="37" customFormat="1" ht="21">
      <c r="H179" s="172"/>
    </row>
    <row r="180" spans="8:8" s="37" customFormat="1" ht="21">
      <c r="H180" s="172"/>
    </row>
    <row r="181" spans="8:8" s="37" customFormat="1" ht="21">
      <c r="H181" s="172"/>
    </row>
    <row r="182" spans="8:8" s="37" customFormat="1" ht="21">
      <c r="H182" s="172"/>
    </row>
    <row r="183" spans="8:8" s="37" customFormat="1" ht="21">
      <c r="H183" s="172"/>
    </row>
    <row r="184" spans="8:8" s="37" customFormat="1" ht="21">
      <c r="H184" s="172"/>
    </row>
    <row r="185" spans="8:8" s="37" customFormat="1" ht="21">
      <c r="H185" s="172"/>
    </row>
    <row r="186" spans="8:8" s="37" customFormat="1" ht="21">
      <c r="H186" s="172"/>
    </row>
    <row r="187" spans="8:8" s="37" customFormat="1" ht="21">
      <c r="H187" s="172"/>
    </row>
    <row r="188" spans="8:8" s="37" customFormat="1" ht="21">
      <c r="H188" s="172"/>
    </row>
    <row r="189" spans="8:8" s="37" customFormat="1" ht="21">
      <c r="H189" s="172"/>
    </row>
    <row r="190" spans="8:8" s="37" customFormat="1" ht="21">
      <c r="H190" s="172"/>
    </row>
    <row r="191" spans="8:8" s="37" customFormat="1" ht="21">
      <c r="H191" s="172"/>
    </row>
    <row r="192" spans="8:8" s="37" customFormat="1" ht="21">
      <c r="H192" s="172"/>
    </row>
    <row r="193" spans="8:8" s="37" customFormat="1" ht="21">
      <c r="H193" s="172"/>
    </row>
    <row r="194" spans="8:8" s="37" customFormat="1" ht="21">
      <c r="H194" s="172"/>
    </row>
    <row r="195" spans="8:8" s="37" customFormat="1" ht="21">
      <c r="H195" s="172"/>
    </row>
    <row r="196" spans="8:8" s="37" customFormat="1" ht="21">
      <c r="H196" s="172"/>
    </row>
    <row r="197" spans="8:8" s="37" customFormat="1" ht="21">
      <c r="H197" s="172"/>
    </row>
    <row r="198" spans="8:8" s="37" customFormat="1" ht="21">
      <c r="H198" s="172"/>
    </row>
    <row r="199" spans="8:8" s="37" customFormat="1" ht="21">
      <c r="H199" s="172"/>
    </row>
    <row r="200" spans="8:8" s="37" customFormat="1" ht="21">
      <c r="H200" s="172"/>
    </row>
    <row r="201" spans="8:8" s="37" customFormat="1" ht="21">
      <c r="H201" s="172"/>
    </row>
    <row r="202" spans="8:8" s="37" customFormat="1" ht="21">
      <c r="H202" s="172"/>
    </row>
    <row r="203" spans="8:8" s="37" customFormat="1" ht="21">
      <c r="H203" s="172"/>
    </row>
    <row r="204" spans="8:8" s="37" customFormat="1" ht="21">
      <c r="H204" s="172"/>
    </row>
    <row r="205" spans="8:8" s="37" customFormat="1" ht="21">
      <c r="H205" s="172"/>
    </row>
    <row r="206" spans="8:8" s="37" customFormat="1" ht="21">
      <c r="H206" s="172"/>
    </row>
    <row r="207" spans="8:8" s="37" customFormat="1" ht="21">
      <c r="H207" s="172"/>
    </row>
    <row r="208" spans="8:8" s="37" customFormat="1" ht="21">
      <c r="H208" s="172"/>
    </row>
    <row r="209" spans="8:8" s="37" customFormat="1" ht="21">
      <c r="H209" s="172"/>
    </row>
    <row r="210" spans="8:8" s="37" customFormat="1" ht="21">
      <c r="H210" s="172"/>
    </row>
    <row r="211" spans="8:8" s="37" customFormat="1" ht="21">
      <c r="H211" s="172"/>
    </row>
    <row r="212" spans="8:8" s="37" customFormat="1" ht="21">
      <c r="H212" s="172"/>
    </row>
    <row r="213" spans="8:8" s="37" customFormat="1" ht="21">
      <c r="H213" s="172"/>
    </row>
    <row r="214" spans="8:8" s="37" customFormat="1" ht="21">
      <c r="H214" s="172"/>
    </row>
    <row r="215" spans="8:8" s="37" customFormat="1" ht="21">
      <c r="H215" s="172"/>
    </row>
    <row r="216" spans="8:8" s="37" customFormat="1" ht="21">
      <c r="H216" s="172"/>
    </row>
    <row r="217" spans="8:8" s="37" customFormat="1" ht="21">
      <c r="H217" s="172"/>
    </row>
    <row r="218" spans="8:8" s="37" customFormat="1" ht="21">
      <c r="H218" s="172"/>
    </row>
    <row r="219" spans="8:8" s="37" customFormat="1" ht="21">
      <c r="H219" s="172"/>
    </row>
    <row r="220" spans="8:8" s="37" customFormat="1" ht="21">
      <c r="H220" s="172"/>
    </row>
    <row r="221" spans="8:8" s="37" customFormat="1" ht="21">
      <c r="H221" s="172"/>
    </row>
    <row r="222" spans="8:8" s="37" customFormat="1" ht="21">
      <c r="H222" s="172"/>
    </row>
    <row r="223" spans="8:8" s="37" customFormat="1" ht="21">
      <c r="H223" s="172"/>
    </row>
    <row r="224" spans="8:8" s="37" customFormat="1" ht="21">
      <c r="H224" s="172"/>
    </row>
    <row r="225" spans="8:8" s="37" customFormat="1" ht="21">
      <c r="H225" s="172"/>
    </row>
    <row r="226" spans="8:8" s="37" customFormat="1" ht="21">
      <c r="H226" s="172"/>
    </row>
    <row r="227" spans="8:8" s="37" customFormat="1" ht="21">
      <c r="H227" s="172"/>
    </row>
    <row r="228" spans="8:8" s="37" customFormat="1" ht="21">
      <c r="H228" s="172"/>
    </row>
    <row r="229" spans="8:8" s="37" customFormat="1" ht="21">
      <c r="H229" s="172"/>
    </row>
    <row r="230" spans="8:8" s="37" customFormat="1" ht="21">
      <c r="H230" s="172"/>
    </row>
    <row r="231" spans="8:8" s="37" customFormat="1" ht="21">
      <c r="H231" s="172"/>
    </row>
    <row r="232" spans="8:8" s="37" customFormat="1" ht="21">
      <c r="H232" s="172"/>
    </row>
    <row r="233" spans="8:8" s="37" customFormat="1" ht="21">
      <c r="H233" s="172"/>
    </row>
    <row r="234" spans="8:8" s="37" customFormat="1" ht="21">
      <c r="H234" s="172"/>
    </row>
    <row r="235" spans="8:8" s="37" customFormat="1" ht="21">
      <c r="H235" s="172"/>
    </row>
    <row r="236" spans="8:8" s="37" customFormat="1" ht="21">
      <c r="H236" s="172"/>
    </row>
    <row r="237" spans="8:8" s="37" customFormat="1" ht="21">
      <c r="H237" s="172"/>
    </row>
    <row r="238" spans="8:8" s="37" customFormat="1" ht="21">
      <c r="H238" s="172"/>
    </row>
    <row r="239" spans="8:8" s="37" customFormat="1" ht="21">
      <c r="H239" s="172"/>
    </row>
    <row r="240" spans="8:8" s="37" customFormat="1" ht="21">
      <c r="H240" s="172"/>
    </row>
    <row r="241" spans="8:8" s="37" customFormat="1" ht="21">
      <c r="H241" s="172"/>
    </row>
    <row r="242" spans="8:8" s="37" customFormat="1" ht="21">
      <c r="H242" s="172"/>
    </row>
    <row r="243" spans="8:8" s="37" customFormat="1" ht="21">
      <c r="H243" s="172"/>
    </row>
    <row r="244" spans="8:8" s="37" customFormat="1" ht="21">
      <c r="H244" s="172"/>
    </row>
    <row r="245" spans="8:8" s="37" customFormat="1" ht="21">
      <c r="H245" s="172"/>
    </row>
    <row r="246" spans="8:8" s="37" customFormat="1" ht="21">
      <c r="H246" s="172"/>
    </row>
    <row r="247" spans="8:8" s="37" customFormat="1" ht="21">
      <c r="H247" s="172"/>
    </row>
    <row r="248" spans="8:8" s="37" customFormat="1" ht="21">
      <c r="H248" s="172"/>
    </row>
    <row r="249" spans="8:8" s="37" customFormat="1" ht="21">
      <c r="H249" s="172"/>
    </row>
    <row r="250" spans="8:8" s="37" customFormat="1" ht="21">
      <c r="H250" s="172"/>
    </row>
    <row r="251" spans="8:8" s="37" customFormat="1" ht="21">
      <c r="H251" s="172"/>
    </row>
    <row r="252" spans="8:8" s="37" customFormat="1" ht="21">
      <c r="H252" s="172"/>
    </row>
    <row r="253" spans="8:8" s="37" customFormat="1" ht="21">
      <c r="H253" s="172"/>
    </row>
    <row r="254" spans="8:8" s="37" customFormat="1" ht="21">
      <c r="H254" s="172"/>
    </row>
    <row r="255" spans="8:8" s="37" customFormat="1" ht="21">
      <c r="H255" s="172"/>
    </row>
    <row r="256" spans="8:8" s="37" customFormat="1" ht="21">
      <c r="H256" s="172"/>
    </row>
    <row r="257" spans="8:8" s="37" customFormat="1" ht="21">
      <c r="H257" s="172"/>
    </row>
    <row r="258" spans="8:8" s="37" customFormat="1" ht="21">
      <c r="H258" s="172"/>
    </row>
    <row r="259" spans="8:8" s="37" customFormat="1" ht="21">
      <c r="H259" s="172"/>
    </row>
    <row r="260" spans="8:8" s="37" customFormat="1" ht="21">
      <c r="H260" s="172"/>
    </row>
    <row r="261" spans="8:8" s="37" customFormat="1" ht="21">
      <c r="H261" s="172"/>
    </row>
    <row r="262" spans="8:8" s="37" customFormat="1" ht="21">
      <c r="H262" s="172"/>
    </row>
    <row r="263" spans="8:8" s="37" customFormat="1" ht="21">
      <c r="H263" s="172"/>
    </row>
    <row r="264" spans="8:8" s="37" customFormat="1" ht="21">
      <c r="H264" s="172"/>
    </row>
    <row r="265" spans="8:8" s="37" customFormat="1" ht="21">
      <c r="H265" s="172"/>
    </row>
    <row r="266" spans="8:8" s="37" customFormat="1" ht="21">
      <c r="H266" s="172"/>
    </row>
    <row r="267" spans="8:8" s="37" customFormat="1" ht="21">
      <c r="H267" s="172"/>
    </row>
    <row r="268" spans="8:8" s="37" customFormat="1" ht="21">
      <c r="H268" s="172"/>
    </row>
    <row r="269" spans="8:8" s="37" customFormat="1" ht="21">
      <c r="H269" s="172"/>
    </row>
    <row r="270" spans="8:8" s="37" customFormat="1" ht="21">
      <c r="H270" s="172"/>
    </row>
    <row r="271" spans="8:8" s="37" customFormat="1" ht="21">
      <c r="H271" s="172"/>
    </row>
    <row r="272" spans="8:8" s="37" customFormat="1" ht="21">
      <c r="H272" s="172"/>
    </row>
    <row r="273" spans="8:8" s="37" customFormat="1" ht="21">
      <c r="H273" s="172"/>
    </row>
    <row r="274" spans="8:8" s="37" customFormat="1" ht="21">
      <c r="H274" s="172"/>
    </row>
    <row r="275" spans="8:8" s="37" customFormat="1" ht="21">
      <c r="H275" s="172"/>
    </row>
    <row r="276" spans="8:8" s="37" customFormat="1" ht="21">
      <c r="H276" s="172"/>
    </row>
    <row r="277" spans="8:8" s="37" customFormat="1" ht="21">
      <c r="H277" s="172"/>
    </row>
    <row r="278" spans="8:8" s="37" customFormat="1" ht="21">
      <c r="H278" s="172"/>
    </row>
    <row r="279" spans="8:8" s="37" customFormat="1" ht="21">
      <c r="H279" s="172"/>
    </row>
    <row r="280" spans="8:8" s="37" customFormat="1" ht="21">
      <c r="H280" s="172"/>
    </row>
    <row r="281" spans="8:8" s="37" customFormat="1" ht="21">
      <c r="H281" s="172"/>
    </row>
    <row r="282" spans="8:8" s="37" customFormat="1" ht="21">
      <c r="H282" s="172"/>
    </row>
    <row r="283" spans="8:8" s="37" customFormat="1" ht="21">
      <c r="H283" s="172"/>
    </row>
    <row r="284" spans="8:8" s="37" customFormat="1" ht="21">
      <c r="H284" s="172"/>
    </row>
    <row r="285" spans="8:8" s="37" customFormat="1" ht="21">
      <c r="H285" s="172"/>
    </row>
    <row r="286" spans="8:8" s="37" customFormat="1" ht="21">
      <c r="H286" s="172"/>
    </row>
    <row r="287" spans="8:8" s="37" customFormat="1" ht="21">
      <c r="H287" s="172"/>
    </row>
    <row r="288" spans="8:8" s="37" customFormat="1" ht="21">
      <c r="H288" s="172"/>
    </row>
    <row r="289" spans="8:8" s="37" customFormat="1" ht="21">
      <c r="H289" s="172"/>
    </row>
    <row r="290" spans="8:8" s="37" customFormat="1" ht="21">
      <c r="H290" s="172"/>
    </row>
    <row r="291" spans="8:8" s="37" customFormat="1" ht="21">
      <c r="H291" s="172"/>
    </row>
    <row r="292" spans="8:8" s="37" customFormat="1" ht="21">
      <c r="H292" s="172"/>
    </row>
    <row r="293" spans="8:8" s="37" customFormat="1" ht="21">
      <c r="H293" s="172"/>
    </row>
    <row r="294" spans="8:8" s="37" customFormat="1" ht="21">
      <c r="H294" s="172"/>
    </row>
    <row r="295" spans="8:8" s="37" customFormat="1" ht="21">
      <c r="H295" s="172"/>
    </row>
    <row r="296" spans="8:8" s="37" customFormat="1" ht="21">
      <c r="H296" s="172"/>
    </row>
    <row r="297" spans="8:8" s="37" customFormat="1" ht="21">
      <c r="H297" s="172"/>
    </row>
    <row r="298" spans="8:8" s="37" customFormat="1" ht="21">
      <c r="H298" s="172"/>
    </row>
    <row r="299" spans="8:8" s="37" customFormat="1" ht="21">
      <c r="H299" s="172"/>
    </row>
    <row r="300" spans="8:8" s="37" customFormat="1" ht="21">
      <c r="H300" s="172"/>
    </row>
    <row r="301" spans="8:8" s="37" customFormat="1" ht="21">
      <c r="H301" s="172"/>
    </row>
    <row r="302" spans="8:8" s="37" customFormat="1" ht="21">
      <c r="H302" s="172"/>
    </row>
    <row r="303" spans="8:8" s="37" customFormat="1" ht="21">
      <c r="H303" s="172"/>
    </row>
    <row r="304" spans="8:8" s="37" customFormat="1" ht="21">
      <c r="H304" s="172"/>
    </row>
    <row r="305" spans="8:8" s="37" customFormat="1" ht="21">
      <c r="H305" s="172"/>
    </row>
    <row r="306" spans="8:8" s="37" customFormat="1" ht="21">
      <c r="H306" s="172"/>
    </row>
    <row r="307" spans="8:8" s="37" customFormat="1" ht="21">
      <c r="H307" s="172"/>
    </row>
    <row r="308" spans="8:8" s="37" customFormat="1" ht="21">
      <c r="H308" s="172"/>
    </row>
    <row r="309" spans="8:8" s="37" customFormat="1" ht="21">
      <c r="H309" s="172"/>
    </row>
    <row r="310" spans="8:8" s="37" customFormat="1" ht="21">
      <c r="H310" s="172"/>
    </row>
    <row r="311" spans="8:8" s="37" customFormat="1" ht="21">
      <c r="H311" s="172"/>
    </row>
    <row r="312" spans="8:8" s="37" customFormat="1" ht="21">
      <c r="H312" s="172"/>
    </row>
    <row r="313" spans="8:8" s="37" customFormat="1" ht="21">
      <c r="H313" s="172"/>
    </row>
    <row r="314" spans="8:8" s="37" customFormat="1" ht="21">
      <c r="H314" s="172"/>
    </row>
    <row r="315" spans="8:8" s="37" customFormat="1" ht="21">
      <c r="H315" s="172"/>
    </row>
    <row r="316" spans="8:8" s="37" customFormat="1" ht="21">
      <c r="H316" s="172"/>
    </row>
    <row r="317" spans="8:8" s="37" customFormat="1" ht="21">
      <c r="H317" s="172"/>
    </row>
    <row r="318" spans="8:8" s="37" customFormat="1" ht="21">
      <c r="H318" s="172"/>
    </row>
    <row r="319" spans="8:8" s="37" customFormat="1" ht="21">
      <c r="H319" s="172"/>
    </row>
    <row r="320" spans="8:8" s="37" customFormat="1" ht="21">
      <c r="H320" s="172"/>
    </row>
    <row r="321" spans="8:8" s="37" customFormat="1" ht="21">
      <c r="H321" s="172"/>
    </row>
    <row r="322" spans="8:8" s="37" customFormat="1" ht="21">
      <c r="H322" s="172"/>
    </row>
    <row r="323" spans="8:8" s="37" customFormat="1" ht="21">
      <c r="H323" s="172"/>
    </row>
    <row r="324" spans="8:8" s="37" customFormat="1" ht="21">
      <c r="H324" s="172"/>
    </row>
    <row r="325" spans="8:8" s="37" customFormat="1" ht="21">
      <c r="H325" s="172"/>
    </row>
    <row r="326" spans="8:8" s="37" customFormat="1" ht="21">
      <c r="H326" s="172"/>
    </row>
    <row r="327" spans="8:8" s="37" customFormat="1" ht="21">
      <c r="H327" s="172"/>
    </row>
    <row r="328" spans="8:8" s="37" customFormat="1" ht="21">
      <c r="H328" s="172"/>
    </row>
    <row r="329" spans="8:8" s="37" customFormat="1" ht="21">
      <c r="H329" s="172"/>
    </row>
    <row r="330" spans="8:8" s="37" customFormat="1" ht="21">
      <c r="H330" s="172"/>
    </row>
    <row r="331" spans="8:8" s="37" customFormat="1" ht="21">
      <c r="H331" s="172"/>
    </row>
    <row r="332" spans="8:8" s="37" customFormat="1" ht="21">
      <c r="H332" s="172"/>
    </row>
    <row r="333" spans="8:8" s="37" customFormat="1" ht="21">
      <c r="H333" s="172"/>
    </row>
    <row r="334" spans="8:8" s="37" customFormat="1" ht="21">
      <c r="H334" s="172"/>
    </row>
    <row r="335" spans="8:8" s="37" customFormat="1" ht="21">
      <c r="H335" s="172"/>
    </row>
    <row r="336" spans="8:8" s="37" customFormat="1" ht="21">
      <c r="H336" s="172"/>
    </row>
    <row r="337" spans="8:8" s="37" customFormat="1" ht="21">
      <c r="H337" s="172"/>
    </row>
    <row r="338" spans="8:8" s="37" customFormat="1" ht="21">
      <c r="H338" s="172"/>
    </row>
    <row r="339" spans="8:8" s="37" customFormat="1" ht="21">
      <c r="H339" s="172"/>
    </row>
    <row r="340" spans="8:8" s="37" customFormat="1" ht="21">
      <c r="H340" s="172"/>
    </row>
    <row r="341" spans="8:8" s="37" customFormat="1" ht="21">
      <c r="H341" s="172"/>
    </row>
    <row r="342" spans="8:8" s="37" customFormat="1" ht="21">
      <c r="H342" s="172"/>
    </row>
    <row r="343" spans="8:8" s="37" customFormat="1" ht="21">
      <c r="H343" s="172"/>
    </row>
    <row r="344" spans="8:8" s="37" customFormat="1" ht="21">
      <c r="H344" s="172"/>
    </row>
    <row r="345" spans="8:8" s="37" customFormat="1" ht="21">
      <c r="H345" s="172"/>
    </row>
    <row r="346" spans="8:8" s="37" customFormat="1" ht="21">
      <c r="H346" s="172"/>
    </row>
    <row r="347" spans="8:8" s="37" customFormat="1" ht="21">
      <c r="H347" s="172"/>
    </row>
    <row r="348" spans="8:8" s="37" customFormat="1" ht="21">
      <c r="H348" s="172"/>
    </row>
    <row r="349" spans="8:8" s="37" customFormat="1" ht="21">
      <c r="H349" s="172"/>
    </row>
    <row r="350" spans="8:8" s="37" customFormat="1" ht="21">
      <c r="H350" s="172"/>
    </row>
    <row r="351" spans="8:8" s="37" customFormat="1" ht="21">
      <c r="H351" s="172"/>
    </row>
    <row r="352" spans="8:8" s="37" customFormat="1" ht="21">
      <c r="H352" s="172"/>
    </row>
    <row r="353" spans="8:8" s="37" customFormat="1" ht="21">
      <c r="H353" s="172"/>
    </row>
    <row r="354" spans="8:8" s="37" customFormat="1" ht="21">
      <c r="H354" s="172"/>
    </row>
    <row r="355" spans="8:8" s="37" customFormat="1" ht="21">
      <c r="H355" s="172"/>
    </row>
    <row r="356" spans="8:8" s="37" customFormat="1" ht="21">
      <c r="H356" s="172"/>
    </row>
    <row r="357" spans="8:8" s="37" customFormat="1" ht="21">
      <c r="H357" s="172"/>
    </row>
    <row r="358" spans="8:8" s="37" customFormat="1" ht="21">
      <c r="H358" s="172"/>
    </row>
    <row r="359" spans="8:8" s="37" customFormat="1" ht="21">
      <c r="H359" s="172"/>
    </row>
    <row r="360" spans="8:8" s="37" customFormat="1" ht="21">
      <c r="H360" s="172"/>
    </row>
    <row r="361" spans="8:8" s="37" customFormat="1" ht="21">
      <c r="H361" s="172"/>
    </row>
    <row r="362" spans="8:8" s="37" customFormat="1" ht="21">
      <c r="H362" s="172"/>
    </row>
    <row r="363" spans="8:8" s="37" customFormat="1" ht="21">
      <c r="H363" s="172"/>
    </row>
    <row r="364" spans="8:8" s="37" customFormat="1" ht="21">
      <c r="H364" s="172"/>
    </row>
    <row r="365" spans="8:8" s="37" customFormat="1" ht="21">
      <c r="H365" s="172"/>
    </row>
    <row r="366" spans="8:8" s="37" customFormat="1" ht="21">
      <c r="H366" s="172"/>
    </row>
    <row r="367" spans="8:8" s="37" customFormat="1" ht="21">
      <c r="H367" s="172"/>
    </row>
    <row r="368" spans="8:8" s="37" customFormat="1" ht="21">
      <c r="H368" s="172"/>
    </row>
    <row r="369" spans="8:8" s="37" customFormat="1" ht="21">
      <c r="H369" s="172"/>
    </row>
    <row r="370" spans="8:8" s="37" customFormat="1" ht="21">
      <c r="H370" s="172"/>
    </row>
    <row r="371" spans="8:8" s="37" customFormat="1" ht="21">
      <c r="H371" s="172"/>
    </row>
    <row r="372" spans="8:8" s="37" customFormat="1" ht="21">
      <c r="H372" s="172"/>
    </row>
    <row r="373" spans="8:8" s="37" customFormat="1" ht="21">
      <c r="H373" s="172"/>
    </row>
    <row r="374" spans="8:8" s="37" customFormat="1" ht="21">
      <c r="H374" s="172"/>
    </row>
    <row r="375" spans="8:8" s="37" customFormat="1" ht="21">
      <c r="H375" s="172"/>
    </row>
    <row r="376" spans="8:8" s="37" customFormat="1" ht="21">
      <c r="H376" s="172"/>
    </row>
    <row r="377" spans="8:8" s="37" customFormat="1" ht="21">
      <c r="H377" s="172"/>
    </row>
    <row r="378" spans="8:8" s="37" customFormat="1" ht="21">
      <c r="H378" s="172"/>
    </row>
    <row r="379" spans="8:8" s="37" customFormat="1" ht="21">
      <c r="H379" s="172"/>
    </row>
    <row r="380" spans="8:8" s="37" customFormat="1" ht="21">
      <c r="H380" s="172"/>
    </row>
    <row r="381" spans="8:8" s="37" customFormat="1" ht="21">
      <c r="H381" s="172"/>
    </row>
    <row r="382" spans="8:8" s="37" customFormat="1" ht="21">
      <c r="H382" s="172"/>
    </row>
    <row r="383" spans="8:8" s="37" customFormat="1" ht="21">
      <c r="H383" s="172"/>
    </row>
    <row r="384" spans="8:8" s="37" customFormat="1" ht="21">
      <c r="H384" s="172"/>
    </row>
    <row r="385" spans="8:8" s="37" customFormat="1" ht="21">
      <c r="H385" s="172"/>
    </row>
    <row r="386" spans="8:8" s="37" customFormat="1" ht="21">
      <c r="H386" s="172"/>
    </row>
    <row r="387" spans="8:8" s="37" customFormat="1" ht="21">
      <c r="H387" s="172"/>
    </row>
    <row r="388" spans="8:8" s="37" customFormat="1" ht="21">
      <c r="H388" s="172"/>
    </row>
    <row r="389" spans="8:8" s="37" customFormat="1" ht="21">
      <c r="H389" s="172"/>
    </row>
    <row r="390" spans="8:8" s="37" customFormat="1" ht="21">
      <c r="H390" s="172"/>
    </row>
    <row r="391" spans="8:8" s="37" customFormat="1" ht="21">
      <c r="H391" s="172"/>
    </row>
    <row r="392" spans="8:8" s="37" customFormat="1" ht="21">
      <c r="H392" s="172"/>
    </row>
    <row r="393" spans="8:8" s="37" customFormat="1" ht="21">
      <c r="H393" s="172"/>
    </row>
    <row r="394" spans="8:8" s="37" customFormat="1" ht="21">
      <c r="H394" s="172"/>
    </row>
    <row r="395" spans="8:8" s="37" customFormat="1" ht="21">
      <c r="H395" s="172"/>
    </row>
    <row r="396" spans="8:8" s="37" customFormat="1" ht="21">
      <c r="H396" s="172"/>
    </row>
    <row r="397" spans="8:8" s="37" customFormat="1" ht="21">
      <c r="H397" s="172"/>
    </row>
    <row r="398" spans="8:8" s="37" customFormat="1" ht="21">
      <c r="H398" s="172"/>
    </row>
    <row r="399" spans="8:8" s="37" customFormat="1" ht="21">
      <c r="H399" s="172"/>
    </row>
    <row r="400" spans="8:8" s="37" customFormat="1" ht="21">
      <c r="H400" s="172"/>
    </row>
    <row r="401" spans="8:8" s="37" customFormat="1" ht="21">
      <c r="H401" s="172"/>
    </row>
    <row r="402" spans="8:8" s="37" customFormat="1" ht="21">
      <c r="H402" s="172"/>
    </row>
    <row r="403" spans="8:8" s="37" customFormat="1" ht="21">
      <c r="H403" s="172"/>
    </row>
    <row r="404" spans="8:8" s="37" customFormat="1" ht="21">
      <c r="H404" s="172"/>
    </row>
    <row r="405" spans="8:8" s="37" customFormat="1" ht="21">
      <c r="H405" s="172"/>
    </row>
    <row r="406" spans="8:8" s="37" customFormat="1" ht="21">
      <c r="H406" s="172"/>
    </row>
    <row r="407" spans="8:8" s="37" customFormat="1" ht="21">
      <c r="H407" s="172"/>
    </row>
    <row r="408" spans="8:8" s="37" customFormat="1" ht="21">
      <c r="H408" s="172"/>
    </row>
    <row r="409" spans="8:8" s="37" customFormat="1" ht="21">
      <c r="H409" s="172"/>
    </row>
    <row r="410" spans="8:8" s="37" customFormat="1" ht="21">
      <c r="H410" s="172"/>
    </row>
    <row r="411" spans="8:8" s="37" customFormat="1" ht="21">
      <c r="H411" s="172"/>
    </row>
    <row r="412" spans="8:8" s="37" customFormat="1" ht="21">
      <c r="H412" s="172"/>
    </row>
    <row r="413" spans="8:8" s="37" customFormat="1" ht="21">
      <c r="H413" s="172"/>
    </row>
    <row r="414" spans="8:8" s="37" customFormat="1" ht="21">
      <c r="H414" s="172"/>
    </row>
    <row r="415" spans="8:8" s="37" customFormat="1" ht="21">
      <c r="H415" s="172"/>
    </row>
    <row r="416" spans="8:8" s="37" customFormat="1" ht="21">
      <c r="H416" s="172"/>
    </row>
    <row r="417" spans="8:8" s="37" customFormat="1" ht="21">
      <c r="H417" s="172"/>
    </row>
    <row r="418" spans="8:8" s="37" customFormat="1" ht="21">
      <c r="H418" s="172"/>
    </row>
    <row r="419" spans="8:8" s="37" customFormat="1" ht="21">
      <c r="H419" s="172"/>
    </row>
    <row r="420" spans="8:8" s="37" customFormat="1" ht="21">
      <c r="H420" s="172"/>
    </row>
    <row r="421" spans="8:8" s="37" customFormat="1" ht="21">
      <c r="H421" s="172"/>
    </row>
    <row r="422" spans="8:8" s="37" customFormat="1" ht="21">
      <c r="H422" s="172"/>
    </row>
    <row r="423" spans="8:8" s="37" customFormat="1" ht="21">
      <c r="H423" s="172"/>
    </row>
    <row r="424" spans="8:8" s="37" customFormat="1" ht="21">
      <c r="H424" s="172"/>
    </row>
    <row r="425" spans="8:8" s="37" customFormat="1" ht="21">
      <c r="H425" s="172"/>
    </row>
    <row r="426" spans="8:8" s="37" customFormat="1" ht="21">
      <c r="H426" s="172"/>
    </row>
    <row r="427" spans="8:8" s="37" customFormat="1" ht="21">
      <c r="H427" s="172"/>
    </row>
    <row r="428" spans="8:8" s="37" customFormat="1" ht="21">
      <c r="H428" s="172"/>
    </row>
    <row r="429" spans="8:8" s="37" customFormat="1" ht="21">
      <c r="H429" s="172"/>
    </row>
    <row r="430" spans="8:8" s="37" customFormat="1" ht="21">
      <c r="H430" s="172"/>
    </row>
    <row r="431" spans="8:8" s="37" customFormat="1" ht="21">
      <c r="H431" s="172"/>
    </row>
    <row r="432" spans="8:8" s="37" customFormat="1" ht="21">
      <c r="H432" s="172"/>
    </row>
    <row r="433" spans="8:8" s="37" customFormat="1" ht="21">
      <c r="H433" s="172"/>
    </row>
    <row r="434" spans="8:8" s="37" customFormat="1" ht="21">
      <c r="H434" s="172"/>
    </row>
    <row r="435" spans="8:8" s="37" customFormat="1" ht="21">
      <c r="H435" s="172"/>
    </row>
    <row r="436" spans="8:8" s="37" customFormat="1" ht="21">
      <c r="H436" s="172"/>
    </row>
    <row r="437" spans="8:8" s="37" customFormat="1" ht="21">
      <c r="H437" s="172"/>
    </row>
    <row r="438" spans="8:8" s="37" customFormat="1" ht="21">
      <c r="H438" s="172"/>
    </row>
    <row r="439" spans="8:8" s="37" customFormat="1" ht="21">
      <c r="H439" s="172"/>
    </row>
    <row r="440" spans="8:8" s="37" customFormat="1" ht="21">
      <c r="H440" s="172"/>
    </row>
    <row r="441" spans="8:8" s="37" customFormat="1" ht="21">
      <c r="H441" s="172"/>
    </row>
    <row r="442" spans="8:8" s="37" customFormat="1" ht="21">
      <c r="H442" s="172"/>
    </row>
    <row r="443" spans="8:8" s="37" customFormat="1" ht="21">
      <c r="H443" s="172"/>
    </row>
    <row r="444" spans="8:8" s="37" customFormat="1" ht="21">
      <c r="H444" s="172"/>
    </row>
    <row r="445" spans="8:8" s="37" customFormat="1" ht="21">
      <c r="H445" s="172"/>
    </row>
    <row r="446" spans="8:8" s="37" customFormat="1" ht="21">
      <c r="H446" s="172"/>
    </row>
    <row r="447" spans="8:8" s="37" customFormat="1" ht="21">
      <c r="H447" s="172"/>
    </row>
    <row r="448" spans="8:8" s="37" customFormat="1" ht="21">
      <c r="H448" s="172"/>
    </row>
    <row r="449" spans="8:8" s="37" customFormat="1" ht="21">
      <c r="H449" s="172"/>
    </row>
    <row r="450" spans="8:8" s="37" customFormat="1" ht="21">
      <c r="H450" s="172"/>
    </row>
    <row r="451" spans="8:8" s="37" customFormat="1" ht="21">
      <c r="H451" s="172"/>
    </row>
    <row r="452" spans="8:8" s="37" customFormat="1" ht="21">
      <c r="H452" s="172"/>
    </row>
    <row r="453" spans="8:8" s="37" customFormat="1" ht="21">
      <c r="H453" s="172"/>
    </row>
    <row r="454" spans="8:8" s="37" customFormat="1" ht="21">
      <c r="H454" s="172"/>
    </row>
    <row r="455" spans="8:8" s="37" customFormat="1" ht="21">
      <c r="H455" s="172"/>
    </row>
    <row r="456" spans="8:8" s="37" customFormat="1" ht="21">
      <c r="H456" s="172"/>
    </row>
    <row r="457" spans="8:8" s="37" customFormat="1" ht="21">
      <c r="H457" s="172"/>
    </row>
    <row r="458" spans="8:8" s="37" customFormat="1" ht="21">
      <c r="H458" s="172"/>
    </row>
    <row r="459" spans="8:8" s="37" customFormat="1" ht="21">
      <c r="H459" s="172"/>
    </row>
    <row r="460" spans="8:8" s="37" customFormat="1" ht="21">
      <c r="H460" s="172"/>
    </row>
    <row r="461" spans="8:8" s="37" customFormat="1" ht="21">
      <c r="H461" s="172"/>
    </row>
    <row r="462" spans="8:8" s="37" customFormat="1" ht="21">
      <c r="H462" s="172"/>
    </row>
    <row r="463" spans="8:8" s="37" customFormat="1" ht="21">
      <c r="H463" s="172"/>
    </row>
    <row r="464" spans="8:8" s="37" customFormat="1" ht="21">
      <c r="H464" s="172"/>
    </row>
    <row r="465" spans="8:8" s="37" customFormat="1" ht="21">
      <c r="H465" s="172"/>
    </row>
    <row r="466" spans="8:8" s="37" customFormat="1" ht="21">
      <c r="H466" s="172"/>
    </row>
    <row r="467" spans="8:8" s="37" customFormat="1" ht="21">
      <c r="H467" s="172"/>
    </row>
    <row r="468" spans="8:8" s="37" customFormat="1" ht="21">
      <c r="H468" s="172"/>
    </row>
    <row r="469" spans="8:8" s="37" customFormat="1" ht="21">
      <c r="H469" s="172"/>
    </row>
    <row r="470" spans="8:8" s="37" customFormat="1" ht="21">
      <c r="H470" s="172"/>
    </row>
    <row r="471" spans="8:8" s="37" customFormat="1" ht="21">
      <c r="H471" s="172"/>
    </row>
    <row r="472" spans="8:8" s="37" customFormat="1" ht="21">
      <c r="H472" s="172"/>
    </row>
    <row r="473" spans="8:8" s="37" customFormat="1" ht="21">
      <c r="H473" s="172"/>
    </row>
    <row r="474" spans="8:8" s="37" customFormat="1" ht="21">
      <c r="H474" s="172"/>
    </row>
    <row r="475" spans="8:8" s="37" customFormat="1" ht="21">
      <c r="H475" s="172"/>
    </row>
    <row r="476" spans="8:8" s="37" customFormat="1" ht="21">
      <c r="H476" s="172"/>
    </row>
    <row r="477" spans="8:8" s="37" customFormat="1" ht="21">
      <c r="H477" s="172"/>
    </row>
    <row r="478" spans="8:8" s="37" customFormat="1" ht="21">
      <c r="H478" s="172"/>
    </row>
    <row r="479" spans="8:8" s="37" customFormat="1" ht="21">
      <c r="H479" s="172"/>
    </row>
    <row r="480" spans="8:8" s="37" customFormat="1" ht="21">
      <c r="H480" s="172"/>
    </row>
    <row r="481" spans="8:8" s="37" customFormat="1" ht="21">
      <c r="H481" s="172"/>
    </row>
    <row r="482" spans="8:8" s="37" customFormat="1" ht="21">
      <c r="H482" s="172"/>
    </row>
    <row r="483" spans="8:8" s="37" customFormat="1" ht="21">
      <c r="H483" s="172"/>
    </row>
    <row r="484" spans="8:8" s="37" customFormat="1" ht="21">
      <c r="H484" s="172"/>
    </row>
    <row r="485" spans="8:8" s="37" customFormat="1" ht="21">
      <c r="H485" s="172"/>
    </row>
    <row r="486" spans="8:8" s="37" customFormat="1" ht="21">
      <c r="H486" s="172"/>
    </row>
    <row r="487" spans="8:8" s="37" customFormat="1" ht="21">
      <c r="H487" s="172"/>
    </row>
    <row r="488" spans="8:8" s="37" customFormat="1" ht="21">
      <c r="H488" s="172"/>
    </row>
    <row r="489" spans="8:8" s="37" customFormat="1" ht="21">
      <c r="H489" s="172"/>
    </row>
    <row r="490" spans="8:8" s="37" customFormat="1" ht="21">
      <c r="H490" s="172"/>
    </row>
    <row r="491" spans="8:8" s="37" customFormat="1" ht="21">
      <c r="H491" s="172"/>
    </row>
    <row r="492" spans="8:8" s="37" customFormat="1" ht="21">
      <c r="H492" s="172"/>
    </row>
    <row r="493" spans="8:8" s="37" customFormat="1" ht="21">
      <c r="H493" s="172"/>
    </row>
    <row r="494" spans="8:8" s="37" customFormat="1" ht="21">
      <c r="H494" s="172"/>
    </row>
    <row r="495" spans="8:8" s="37" customFormat="1" ht="21">
      <c r="H495" s="172"/>
    </row>
    <row r="496" spans="8:8" s="37" customFormat="1" ht="21">
      <c r="H496" s="172"/>
    </row>
    <row r="497" spans="8:8" s="37" customFormat="1" ht="21">
      <c r="H497" s="172"/>
    </row>
    <row r="498" spans="8:8" s="37" customFormat="1" ht="21">
      <c r="H498" s="172"/>
    </row>
    <row r="499" spans="8:8" s="37" customFormat="1" ht="21">
      <c r="H499" s="172"/>
    </row>
    <row r="500" spans="8:8" s="37" customFormat="1" ht="21">
      <c r="H500" s="172"/>
    </row>
    <row r="501" spans="8:8" s="37" customFormat="1" ht="21">
      <c r="H501" s="172"/>
    </row>
    <row r="502" spans="8:8" s="37" customFormat="1" ht="21">
      <c r="H502" s="172"/>
    </row>
    <row r="503" spans="8:8" s="37" customFormat="1" ht="21">
      <c r="H503" s="172"/>
    </row>
    <row r="504" spans="8:8" s="37" customFormat="1" ht="21">
      <c r="H504" s="172"/>
    </row>
  </sheetData>
  <mergeCells count="2">
    <mergeCell ref="C115:F115"/>
    <mergeCell ref="C157:F157"/>
  </mergeCells>
  <conditionalFormatting sqref="E6:E7">
    <cfRule type="expression" dxfId="2" priority="1">
      <formula>$G$4="No"</formula>
    </cfRule>
  </conditionalFormatting>
  <conditionalFormatting sqref="E5:G5 G6:G7">
    <cfRule type="expression" dxfId="1" priority="3">
      <formula>$G$4="No"</formula>
    </cfRule>
  </conditionalFormatting>
  <conditionalFormatting sqref="G10:G13">
    <cfRule type="expression" dxfId="0" priority="2">
      <formula>$G$9="No"</formula>
    </cfRule>
  </conditionalFormatting>
  <dataValidations count="42">
    <dataValidation type="list" allowBlank="1" showInputMessage="1" showErrorMessage="1" sqref="G4" xr:uid="{FEBA904E-5B25-D640-A92E-A108E7B66D01}">
      <formula1>$I$4:$J$4</formula1>
    </dataValidation>
    <dataValidation type="list" allowBlank="1" showInputMessage="1" showErrorMessage="1" sqref="G5" xr:uid="{1A308BFF-D848-0145-8020-BC0C43D5231C}">
      <formula1>$I$5:$K$5</formula1>
    </dataValidation>
    <dataValidation type="list" allowBlank="1" showInputMessage="1" showErrorMessage="1" sqref="G6:G8" xr:uid="{B72E6EDC-6EFD-6644-89CE-C159F416AD38}">
      <formula1>$I$6:$N$6</formula1>
    </dataValidation>
    <dataValidation type="list" allowBlank="1" showInputMessage="1" showErrorMessage="1" sqref="G9" xr:uid="{35BADB5C-921C-B643-820C-784ED1E1F210}">
      <formula1>$I$9:$J$9</formula1>
    </dataValidation>
    <dataValidation type="list" allowBlank="1" showInputMessage="1" showErrorMessage="1" sqref="G10" xr:uid="{7AB6D6F9-3E6E-B149-8AA0-8753F9384A56}">
      <formula1>$I$10:$O$10</formula1>
    </dataValidation>
    <dataValidation type="list" allowBlank="1" showInputMessage="1" showErrorMessage="1" sqref="G11:G14" xr:uid="{957B9DA9-1CFD-D042-80DC-A2EAD3855B53}">
      <formula1>$I$11:$N$11</formula1>
    </dataValidation>
    <dataValidation type="list" allowBlank="1" showInputMessage="1" showErrorMessage="1" sqref="G15" xr:uid="{1B392566-361B-2841-A851-EA48E0EC4418}">
      <formula1>$I$15:$J$15</formula1>
    </dataValidation>
    <dataValidation type="list" allowBlank="1" showInputMessage="1" showErrorMessage="1" sqref="G16" xr:uid="{9330860C-4177-D842-B339-71B62B3185B7}">
      <formula1>$I$16:$J$16</formula1>
    </dataValidation>
    <dataValidation type="list" allowBlank="1" showInputMessage="1" showErrorMessage="1" sqref="G17" xr:uid="{12E3AAF6-1066-8945-BA87-AD0A936BF3CE}">
      <formula1>$I$17:$J$17</formula1>
    </dataValidation>
    <dataValidation type="list" allowBlank="1" showInputMessage="1" showErrorMessage="1" sqref="G28" xr:uid="{D9D554BC-6BC5-0348-8196-020AF0DD611B}">
      <formula1>$I$28:$J$28</formula1>
    </dataValidation>
    <dataValidation type="list" allowBlank="1" showInputMessage="1" showErrorMessage="1" sqref="G29" xr:uid="{717F458E-FF1F-474F-9DC7-F304E5B7E10D}">
      <formula1>$I$29:$J$29</formula1>
    </dataValidation>
    <dataValidation type="list" allowBlank="1" showInputMessage="1" showErrorMessage="1" sqref="G32" xr:uid="{341BF084-BFDF-0D4D-A2A6-093270869E9A}">
      <formula1>$I$32:$J$32</formula1>
    </dataValidation>
    <dataValidation type="list" allowBlank="1" showInputMessage="1" showErrorMessage="1" sqref="G34" xr:uid="{3B2A1B78-B8B9-384D-A2CE-29CF39B29E89}">
      <formula1>$I$34:$J$34</formula1>
    </dataValidation>
    <dataValidation type="list" allowBlank="1" showInputMessage="1" showErrorMessage="1" sqref="G35" xr:uid="{B175AD50-AF9E-5143-8453-084E0220E946}">
      <formula1>$I$35:$J$35</formula1>
    </dataValidation>
    <dataValidation type="list" allowBlank="1" showInputMessage="1" showErrorMessage="1" sqref="G36" xr:uid="{E948FD27-F15F-2F46-8EAD-C49328354210}">
      <formula1>$I$36:$J$36</formula1>
    </dataValidation>
    <dataValidation type="list" allowBlank="1" showInputMessage="1" showErrorMessage="1" sqref="G37" xr:uid="{E5B175B2-BC6A-3D4C-83C6-D975BF6B8E7E}">
      <formula1>$I$37:$J$37</formula1>
    </dataValidation>
    <dataValidation type="list" allowBlank="1" showInputMessage="1" showErrorMessage="1" sqref="G38" xr:uid="{2104FFC6-F737-194C-BBC4-920CBA10C97D}">
      <formula1>$I$38:$J$38</formula1>
    </dataValidation>
    <dataValidation type="list" allowBlank="1" showInputMessage="1" showErrorMessage="1" sqref="G39" xr:uid="{1105D78F-B932-7544-9F68-8FA4BAF7394B}">
      <formula1>$I$39:$J$39</formula1>
    </dataValidation>
    <dataValidation type="list" allowBlank="1" showInputMessage="1" showErrorMessage="1" sqref="G40" xr:uid="{63E032F9-4CB2-3944-B927-6A6265495D07}">
      <formula1>$I$40:$J$40</formula1>
    </dataValidation>
    <dataValidation type="list" allowBlank="1" showInputMessage="1" showErrorMessage="1" sqref="G41" xr:uid="{5930F19E-0A7F-FB49-9C73-820E13789BD4}">
      <formula1>$I$41:$J$41</formula1>
    </dataValidation>
    <dataValidation type="list" allowBlank="1" showInputMessage="1" showErrorMessage="1" sqref="G42" xr:uid="{892D1008-5F05-EF4D-A61F-E309F15B9AB4}">
      <formula1>$I$42:$J$42</formula1>
    </dataValidation>
    <dataValidation type="list" allowBlank="1" showInputMessage="1" showErrorMessage="1" sqref="G43" xr:uid="{8CBE9582-AFE9-C745-A701-CC5722A52769}">
      <formula1>$I$43:$J$43</formula1>
    </dataValidation>
    <dataValidation type="list" allowBlank="1" showInputMessage="1" showErrorMessage="1" sqref="G44" xr:uid="{491D4C04-2E4B-394C-831D-B6D7A09A16E3}">
      <formula1>$I$44:$J$44</formula1>
    </dataValidation>
    <dataValidation type="list" allowBlank="1" showInputMessage="1" showErrorMessage="1" sqref="G59" xr:uid="{66CAFE5A-B6C1-E244-9162-E270DE4DE4B4}">
      <formula1>$I$59:$L$59</formula1>
    </dataValidation>
    <dataValidation type="list" allowBlank="1" showInputMessage="1" showErrorMessage="1" sqref="G61" xr:uid="{18A77AB0-E4C8-314F-8277-FA327B3B1860}">
      <formula1>$I$61:$K$61</formula1>
    </dataValidation>
    <dataValidation type="list" allowBlank="1" showInputMessage="1" showErrorMessage="1" sqref="G62" xr:uid="{230D8EF8-1FB1-6245-88E3-254E72654D11}">
      <formula1>$I$62:$J$62</formula1>
    </dataValidation>
    <dataValidation type="list" allowBlank="1" showInputMessage="1" showErrorMessage="1" sqref="G63" xr:uid="{085A8907-E64E-7B45-BC8F-C8CE34E89685}">
      <formula1>$I$63:$O$63</formula1>
    </dataValidation>
    <dataValidation type="list" allowBlank="1" showInputMessage="1" showErrorMessage="1" sqref="G64" xr:uid="{42F630A5-276B-3C49-AFEE-01F345A98E62}">
      <formula1>$I$64:$L$64</formula1>
    </dataValidation>
    <dataValidation type="list" allowBlank="1" showInputMessage="1" showErrorMessage="1" sqref="G65" xr:uid="{1A85AF61-FF80-DA44-83E6-1D5F5D29040F}">
      <formula1>$I$65:$K$65</formula1>
    </dataValidation>
    <dataValidation type="list" allowBlank="1" showInputMessage="1" showErrorMessage="1" sqref="G69" xr:uid="{1C2B89C9-35AF-0344-8F3C-BD15C5309BCD}">
      <formula1>$I$69:$L$69</formula1>
    </dataValidation>
    <dataValidation type="list" allowBlank="1" showInputMessage="1" showErrorMessage="1" sqref="G89" xr:uid="{A887BC8E-FFA0-8A42-BBE0-4DEEB75EE805}">
      <formula1>$I$89:$L$89</formula1>
    </dataValidation>
    <dataValidation type="list" allowBlank="1" showInputMessage="1" showErrorMessage="1" sqref="G97" xr:uid="{DB604BAA-17CD-8B49-B910-B1CD0C2DD28C}">
      <formula1>$I$97:$L$97</formula1>
    </dataValidation>
    <dataValidation type="list" allowBlank="1" showInputMessage="1" showErrorMessage="1" sqref="G107" xr:uid="{5E7784AC-C8C5-444C-88B9-66E667F9E67B}">
      <formula1>$I$107:$L$107</formula1>
    </dataValidation>
    <dataValidation type="list" allowBlank="1" showInputMessage="1" showErrorMessage="1" sqref="G108" xr:uid="{0696BD8D-4076-DD48-8316-EAB5A9F7FB13}">
      <formula1>$I$108:$J$108</formula1>
    </dataValidation>
    <dataValidation type="list" allowBlank="1" showInputMessage="1" showErrorMessage="1" sqref="G50" xr:uid="{2638C280-3BCA-0D48-9FDF-73678E0FEB4C}">
      <formula1>$I$50:$J$50</formula1>
    </dataValidation>
    <dataValidation type="list" allowBlank="1" showInputMessage="1" showErrorMessage="1" sqref="G51" xr:uid="{BB84C956-58CE-D546-9D01-4D153A2D1BEF}">
      <formula1>$I$51:$J$51</formula1>
    </dataValidation>
    <dataValidation type="list" allowBlank="1" showInputMessage="1" showErrorMessage="1" sqref="G52" xr:uid="{5768FFE7-C3D0-584E-81EC-C804E50C5FBC}">
      <formula1>$I$52:$J$52</formula1>
    </dataValidation>
    <dataValidation type="list" allowBlank="1" showInputMessage="1" showErrorMessage="1" sqref="G53" xr:uid="{F017C8B2-9954-384F-B807-C9854069D9F4}">
      <formula1>$I$53:$J$53</formula1>
    </dataValidation>
    <dataValidation type="list" allowBlank="1" showInputMessage="1" showErrorMessage="1" sqref="G54" xr:uid="{D9C78F0F-15AB-874D-8E41-34E366D5FEE9}">
      <formula1>$I$54:$J$54</formula1>
    </dataValidation>
    <dataValidation type="list" allowBlank="1" showInputMessage="1" showErrorMessage="1" sqref="G55" xr:uid="{66B6D5AE-1A3B-C647-ABAD-DEFABEC8F497}">
      <formula1>$I$55:$J$55</formula1>
    </dataValidation>
    <dataValidation type="list" allowBlank="1" showInputMessage="1" showErrorMessage="1" sqref="G56" xr:uid="{EB185D12-FE16-6F4E-AC7A-217E38945B3F}">
      <formula1>$I$56:$J$56</formula1>
    </dataValidation>
    <dataValidation type="list" allowBlank="1" showInputMessage="1" showErrorMessage="1" sqref="G57" xr:uid="{D092F295-8FF1-084B-8C21-1F08E3E103D7}">
      <formula1>$I$57:$J$57</formula1>
    </dataValidation>
  </dataValidations>
  <pageMargins left="0.7" right="0.7" top="0.75" bottom="0.75" header="0.3" footer="0.3"/>
  <pageSetup paperSize="9" orientation="portrait" horizontalDpi="0" verticalDpi="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tint="0.39997558519241921"/>
  </sheetPr>
  <dimension ref="A1:C37"/>
  <sheetViews>
    <sheetView showGridLines="0" topLeftCell="A21" zoomScaleNormal="100" workbookViewId="0">
      <selection activeCell="L36" sqref="L36"/>
    </sheetView>
  </sheetViews>
  <sheetFormatPr baseColWidth="10" defaultColWidth="10.6640625" defaultRowHeight="14"/>
  <cols>
    <col min="2" max="2" width="10.6640625" style="129"/>
    <col min="3" max="3" width="110.6640625" style="127" customWidth="1"/>
    <col min="4" max="4" width="16" customWidth="1"/>
    <col min="6" max="6" width="23" customWidth="1"/>
    <col min="7" max="7" width="17" customWidth="1"/>
    <col min="8" max="8" width="27.33203125" customWidth="1"/>
    <col min="10" max="10" width="10.6640625" customWidth="1"/>
    <col min="11" max="11" width="25.5" customWidth="1"/>
  </cols>
  <sheetData>
    <row r="1" spans="1:3" ht="44" customHeight="1">
      <c r="A1" s="126" t="s">
        <v>569</v>
      </c>
    </row>
    <row r="2" spans="1:3" ht="33" customHeight="1">
      <c r="B2" s="130"/>
    </row>
    <row r="3" spans="1:3" ht="21">
      <c r="B3" s="131" t="s">
        <v>541</v>
      </c>
    </row>
    <row r="4" spans="1:3" ht="88">
      <c r="C4" s="128" t="s">
        <v>562</v>
      </c>
    </row>
    <row r="6" spans="1:3" ht="110">
      <c r="C6" s="128" t="s">
        <v>564</v>
      </c>
    </row>
    <row r="7" spans="1:3" ht="45" customHeight="1"/>
    <row r="8" spans="1:3" ht="132">
      <c r="C8" s="128" t="s">
        <v>563</v>
      </c>
    </row>
    <row r="10" spans="1:3" ht="110">
      <c r="C10" s="128" t="s">
        <v>565</v>
      </c>
    </row>
    <row r="11" spans="1:3" ht="21">
      <c r="C11" s="128"/>
    </row>
    <row r="12" spans="1:3" ht="21">
      <c r="C12" s="128"/>
    </row>
    <row r="13" spans="1:3" ht="21">
      <c r="C13" s="128"/>
    </row>
    <row r="14" spans="1:3" ht="21">
      <c r="C14" s="128"/>
    </row>
    <row r="15" spans="1:3" ht="21">
      <c r="B15" s="131" t="s">
        <v>573</v>
      </c>
      <c r="C15" s="128"/>
    </row>
    <row r="16" spans="1:3" ht="110">
      <c r="C16" s="128" t="s">
        <v>571</v>
      </c>
    </row>
    <row r="17" spans="2:3" ht="21">
      <c r="C17" s="128"/>
    </row>
    <row r="18" spans="2:3" ht="88">
      <c r="C18" s="128" t="s">
        <v>572</v>
      </c>
    </row>
    <row r="19" spans="2:3" ht="21">
      <c r="C19" s="128"/>
    </row>
    <row r="20" spans="2:3" ht="347" customHeight="1">
      <c r="C20" s="128" t="s">
        <v>574</v>
      </c>
    </row>
    <row r="21" spans="2:3" ht="242">
      <c r="C21" s="128" t="s">
        <v>575</v>
      </c>
    </row>
    <row r="22" spans="2:3" ht="21">
      <c r="C22" s="128"/>
    </row>
    <row r="23" spans="2:3" ht="45" customHeight="1">
      <c r="B23" s="131" t="s">
        <v>568</v>
      </c>
    </row>
    <row r="24" spans="2:3" ht="110">
      <c r="C24" s="128" t="s">
        <v>566</v>
      </c>
    </row>
    <row r="25" spans="2:3" ht="29" customHeight="1"/>
    <row r="26" spans="2:3" ht="88">
      <c r="C26" s="128" t="s">
        <v>570</v>
      </c>
    </row>
    <row r="27" spans="2:3" ht="8" customHeight="1"/>
    <row r="28" spans="2:3" ht="88">
      <c r="C28" s="128" t="s">
        <v>567</v>
      </c>
    </row>
    <row r="33" ht="13" customHeight="1"/>
    <row r="34" ht="13" customHeight="1"/>
    <row r="35" ht="207" customHeight="1"/>
    <row r="36" ht="181" customHeight="1"/>
    <row r="37" ht="114" customHeight="1"/>
  </sheetData>
  <pageMargins left="0.7" right="0.7"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 Cover -</vt:lpstr>
      <vt:lpstr>Passport</vt:lpstr>
      <vt:lpstr>Maturity</vt:lpstr>
      <vt:lpstr>Maturity Future Recommendations</vt:lpstr>
      <vt:lpstr>BIM Guidelines</vt:lpstr>
      <vt:lpstr>BIM Ontologies</vt:lpstr>
      <vt:lpstr>- FAQ -</vt:lpstr>
      <vt:lpstr>cert.3</vt:lpstr>
      <vt:lpstr>cert1</vt:lpstr>
      <vt:lpstr>cert2</vt:lpstr>
      <vt:lpstr>cert3</vt:lpstr>
      <vt:lpstr>NoCert1</vt:lpstr>
      <vt:lpstr>'BIM Guidelines'!Print_Area</vt:lpstr>
      <vt:lpstr>Maturity!Print_Area</vt:lpstr>
      <vt:lpstr>Passport!Print_Area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ragaz</dc:creator>
  <cp:lastModifiedBy>Microsoft Office User</cp:lastModifiedBy>
  <cp:lastPrinted>2023-01-17T09:28:39Z</cp:lastPrinted>
  <dcterms:created xsi:type="dcterms:W3CDTF">2017-03-14T15:21:29Z</dcterms:created>
  <dcterms:modified xsi:type="dcterms:W3CDTF">2023-01-19T13:04:52Z</dcterms:modified>
</cp:coreProperties>
</file>